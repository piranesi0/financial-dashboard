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ay" sheetId="1" r:id="rId5"/>
    <sheet state="visible" name="2024 Stock" sheetId="2" r:id="rId6"/>
    <sheet state="visible" name="2025" sheetId="3" r:id="rId7"/>
    <sheet state="visible" name="2026" sheetId="4" r:id="rId8"/>
  </sheets>
  <definedNames/>
  <calcPr/>
</workbook>
</file>

<file path=xl/sharedStrings.xml><?xml version="1.0" encoding="utf-8"?>
<sst xmlns="http://schemas.openxmlformats.org/spreadsheetml/2006/main" count="186" uniqueCount="127">
  <si>
    <t>Year</t>
  </si>
  <si>
    <t>2023</t>
  </si>
  <si>
    <t>2024</t>
  </si>
  <si>
    <t>Bonus</t>
  </si>
  <si>
    <t>2025</t>
  </si>
  <si>
    <t>2025v2</t>
  </si>
  <si>
    <t>2026</t>
  </si>
  <si>
    <t>Base</t>
  </si>
  <si>
    <t>Select</t>
  </si>
  <si>
    <t>Stock gross</t>
  </si>
  <si>
    <t>Stock net</t>
  </si>
  <si>
    <t>Gross</t>
  </si>
  <si>
    <t>Net</t>
  </si>
  <si>
    <t>Net base</t>
  </si>
  <si>
    <t>Change gross</t>
  </si>
  <si>
    <t>Change net</t>
  </si>
  <si>
    <t>8265 points</t>
  </si>
  <si>
    <t>Pension</t>
  </si>
  <si>
    <t>Select Positive</t>
  </si>
  <si>
    <t>GROSS</t>
  </si>
  <si>
    <t>PAYE @ 20%</t>
  </si>
  <si>
    <t>PAYE @ 40%</t>
  </si>
  <si>
    <t>Total PAYE</t>
  </si>
  <si>
    <t>Select Points</t>
  </si>
  <si>
    <t>NI</t>
  </si>
  <si>
    <t>Student Loan</t>
  </si>
  <si>
    <t>Base pension</t>
  </si>
  <si>
    <t>DEDUCTIONS</t>
  </si>
  <si>
    <t>Additional pension</t>
  </si>
  <si>
    <t>Employer</t>
  </si>
  <si>
    <t>NET</t>
  </si>
  <si>
    <t>Points Distributed</t>
  </si>
  <si>
    <t>Additional</t>
  </si>
  <si>
    <t>Pension diff</t>
  </si>
  <si>
    <t>Dental</t>
  </si>
  <si>
    <t>Benefit</t>
  </si>
  <si>
    <t>Percent tax</t>
  </si>
  <si>
    <t>Critical Illness</t>
  </si>
  <si>
    <t>Total</t>
  </si>
  <si>
    <t>Month Change</t>
  </si>
  <si>
    <t>Critical Illness Partner</t>
  </si>
  <si>
    <t>Monthly</t>
  </si>
  <si>
    <t>Vacation days</t>
  </si>
  <si>
    <t>% tax rate</t>
  </si>
  <si>
    <t>Vacation cost</t>
  </si>
  <si>
    <t>Below £50270</t>
  </si>
  <si>
    <t>Life assurance</t>
  </si>
  <si>
    <t>Above £50270</t>
  </si>
  <si>
    <t>Points spent</t>
  </si>
  <si>
    <t>Points remaining</t>
  </si>
  <si>
    <t>Shares</t>
  </si>
  <si>
    <t>Cash</t>
  </si>
  <si>
    <t>RSUs</t>
  </si>
  <si>
    <t>Next vest</t>
  </si>
  <si>
    <t>Vest every year</t>
  </si>
  <si>
    <t>1233L</t>
  </si>
  <si>
    <t>Oracle stock price</t>
  </si>
  <si>
    <t>Pretax</t>
  </si>
  <si>
    <t>Band</t>
  </si>
  <si>
    <t>Taxable income</t>
  </si>
  <si>
    <t>Tax rate</t>
  </si>
  <si>
    <t>Monthly thresh</t>
  </si>
  <si>
    <t xml:space="preserve">Total account </t>
  </si>
  <si>
    <t>Personal Allowance</t>
  </si>
  <si>
    <t>Basic rate</t>
  </si>
  <si>
    <t>Vestment</t>
  </si>
  <si>
    <t>Approx pay</t>
  </si>
  <si>
    <t>Vest count</t>
  </si>
  <si>
    <t>Pre tax</t>
  </si>
  <si>
    <t>Taxed USD</t>
  </si>
  <si>
    <t>Taxed + fee GBP</t>
  </si>
  <si>
    <t>Shares to cover tax</t>
  </si>
  <si>
    <t>Higher rate</t>
  </si>
  <si>
    <t>15 Sept</t>
  </si>
  <si>
    <t>20 Sept</t>
  </si>
  <si>
    <t>27 Sept</t>
  </si>
  <si>
    <t>NI Bands</t>
  </si>
  <si>
    <t>Category letter</t>
  </si>
  <si>
    <t>£533 to £1,048/m</t>
  </si>
  <si>
    <t>£1,048.01 to £4,189</t>
  </si>
  <si>
    <t>£4,189 a month</t>
  </si>
  <si>
    <t>A</t>
  </si>
  <si>
    <t>Plan 2</t>
  </si>
  <si>
    <t>Annual growth</t>
  </si>
  <si>
    <t>Vesting</t>
  </si>
  <si>
    <t>Distro</t>
  </si>
  <si>
    <t>Available</t>
  </si>
  <si>
    <t>Qty</t>
  </si>
  <si>
    <t>Tax</t>
  </si>
  <si>
    <t>Tax val</t>
  </si>
  <si>
    <t>Tax $</t>
  </si>
  <si>
    <t>Tax req</t>
  </si>
  <si>
    <t>dx</t>
  </si>
  <si>
    <t>Dist'd</t>
  </si>
  <si>
    <t>Sell pc</t>
  </si>
  <si>
    <t>Sell date</t>
  </si>
  <si>
    <t>Proceeds</t>
  </si>
  <si>
    <t>~GBP</t>
  </si>
  <si>
    <t>Actual</t>
  </si>
  <si>
    <t>Sold</t>
  </si>
  <si>
    <t>Received</t>
  </si>
  <si>
    <t>Pay</t>
  </si>
  <si>
    <t>Yes</t>
  </si>
  <si>
    <t>Excess</t>
  </si>
  <si>
    <t>Totals</t>
  </si>
  <si>
    <t>Price change</t>
  </si>
  <si>
    <t>Current $ORCL</t>
  </si>
  <si>
    <t>Target price 6</t>
  </si>
  <si>
    <t>USD/GBP</t>
  </si>
  <si>
    <t>2025 est</t>
  </si>
  <si>
    <t>Remaining</t>
  </si>
  <si>
    <t>Vest 1</t>
  </si>
  <si>
    <t>Vest 2</t>
  </si>
  <si>
    <t xml:space="preserve">Available </t>
  </si>
  <si>
    <t>Vested value</t>
  </si>
  <si>
    <t>Vest qty</t>
  </si>
  <si>
    <t>cost basis</t>
  </si>
  <si>
    <t>Received qty</t>
  </si>
  <si>
    <t>Sell price</t>
  </si>
  <si>
    <t>Income</t>
  </si>
  <si>
    <t>Est cash out</t>
  </si>
  <si>
    <t>sold</t>
  </si>
  <si>
    <t>cashed</t>
  </si>
  <si>
    <t>30 Sep?</t>
  </si>
  <si>
    <t>actual gbp</t>
  </si>
  <si>
    <t>USDGBP</t>
  </si>
  <si>
    <t>ORCL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</si>
</sst>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1">
    <numFmt numFmtId="164" formatCode="[$£-809]#,##0.00"/>
    <numFmt numFmtId="165" formatCode="&quot;$&quot;#,##0.00"/>
    <numFmt numFmtId="166" formatCode="&quot;£&quot;#,##0"/>
    <numFmt numFmtId="167" formatCode="[$£-809]#,##0"/>
    <numFmt numFmtId="168" formatCode="[$$]#,##0.00"/>
    <numFmt numFmtId="169" formatCode="ddd&quot; &quot;d&quot; &quot;mmm&quot; &quot;"/>
    <numFmt numFmtId="170" formatCode="ddd d mmm"/>
    <numFmt numFmtId="171" formatCode="0.000%"/>
    <numFmt numFmtId="172" formatCode="mmm/d/yyyy"/>
    <numFmt numFmtId="173" formatCode="d mmm"/>
    <numFmt numFmtId="174" formatCode="&quot;£&quot;#,##0.00"/>
  </numFmts>
  <fonts count="27">
    <font>
      <sz val="10.0"/>
      <color rgb="FF000000"/>
      <name val="Arial"/>
      <scheme val="minor"/>
    </font>
    <font>
      <color theme="1"/>
      <name val="Arial"/>
      <scheme val="minor"/>
    </font>
    <font>
      <i/>
      <color theme="1"/>
      <name val="Arial"/>
      <scheme val="minor"/>
    </font>
    <font>
      <b/>
      <color theme="1"/>
      <name val="Arial"/>
      <scheme val="minor"/>
    </font>
    <font>
      <b/>
      <u/>
      <color theme="1"/>
      <name val="Arial"/>
      <scheme val="minor"/>
    </font>
    <font>
      <b/>
      <u/>
      <color theme="1"/>
      <name val="Arial"/>
      <scheme val="minor"/>
    </font>
    <font>
      <b/>
      <u/>
      <color theme="1"/>
      <name val="Arial"/>
      <scheme val="minor"/>
    </font>
    <font>
      <b/>
      <i/>
      <u/>
      <color theme="1"/>
      <name val="Arial"/>
      <scheme val="minor"/>
    </font>
    <font>
      <u/>
      <color theme="1"/>
      <name val="Arial"/>
      <scheme val="minor"/>
    </font>
    <font>
      <u/>
      <color theme="1"/>
      <name val="Arial"/>
      <scheme val="minor"/>
    </font>
    <font>
      <b/>
      <u/>
      <color theme="1"/>
      <name val="Arial"/>
      <scheme val="minor"/>
    </font>
    <font>
      <b/>
      <i/>
      <color theme="1"/>
      <name val="Arial"/>
      <scheme val="minor"/>
    </font>
    <font>
      <sz val="14.0"/>
      <color theme="1"/>
      <name val="Arial"/>
    </font>
    <font>
      <color theme="1"/>
      <name val="Arial"/>
    </font>
    <font>
      <sz val="11.0"/>
      <color theme="1"/>
      <name val="Arial"/>
    </font>
    <font>
      <b/>
      <sz val="11.0"/>
      <color theme="1"/>
      <name val="Arial"/>
    </font>
    <font>
      <b/>
      <u/>
      <color theme="1"/>
      <name val="Arial"/>
      <scheme val="minor"/>
    </font>
    <font>
      <u/>
      <color theme="1"/>
      <name val="Fidelity Sans"/>
    </font>
    <font>
      <b/>
      <color rgb="FF368727"/>
      <name val="Arial"/>
    </font>
    <font>
      <sz val="9.0"/>
      <color rgb="FF000000"/>
      <name val="&quot;Google Sans Mono&quot;"/>
    </font>
    <font>
      <color rgb="FF000000"/>
      <name val="&quot;Fidelity Sans&quot;"/>
    </font>
    <font>
      <u/>
      <color rgb="FF000000"/>
      <name val="&quot;Fidelity Sans&quot;"/>
    </font>
    <font>
      <u/>
      <color rgb="FF000000"/>
      <name val="&quot;Fidelity Sans&quot;"/>
    </font>
    <font>
      <b/>
      <color rgb="FF368727"/>
      <name val="Inherit"/>
    </font>
    <font>
      <u/>
      <color rgb="FF000000"/>
      <name val="&quot;Fidelity Sans&quot;"/>
    </font>
    <font>
      <u/>
      <color rgb="FF000000"/>
      <name val="&quot;Fidelity Sans&quot;"/>
    </font>
    <font>
      <u/>
      <color rgb="FF000000"/>
      <name val="&quot;Fidelity Sans&quot;"/>
    </font>
  </fonts>
  <fills count="6">
    <fill>
      <patternFill patternType="none"/>
    </fill>
    <fill>
      <patternFill patternType="lightGray"/>
    </fill>
    <fill>
      <patternFill patternType="solid">
        <fgColor rgb="FFFFF2CC"/>
        <bgColor rgb="FFFFF2CC"/>
      </patternFill>
    </fill>
    <fill>
      <patternFill patternType="solid">
        <fgColor rgb="FFB7E1CD"/>
        <bgColor rgb="FFB7E1CD"/>
      </patternFill>
    </fill>
    <fill>
      <patternFill patternType="solid">
        <fgColor rgb="FFD9EAD3"/>
        <bgColor rgb="FFD9EAD3"/>
      </patternFill>
    </fill>
    <fill>
      <patternFill patternType="solid">
        <fgColor rgb="FFFFFFFF"/>
        <bgColor rgb="FFFFFFFF"/>
      </patternFill>
    </fill>
  </fills>
  <borders count="16">
    <border/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999999"/>
      </right>
      <top style="thin">
        <color rgb="FF000000"/>
      </top>
      <bottom style="thin">
        <color rgb="FF999999"/>
      </bottom>
    </border>
    <border>
      <left style="thin">
        <color rgb="FF999999"/>
      </left>
      <right style="thin">
        <color rgb="FF999999"/>
      </right>
      <top style="thin">
        <color rgb="FF000000"/>
      </top>
      <bottom style="thin">
        <color rgb="FF999999"/>
      </bottom>
    </border>
    <border>
      <left style="thin">
        <color rgb="FF999999"/>
      </left>
      <right style="thin">
        <color rgb="FF000000"/>
      </right>
      <top style="thin">
        <color rgb="FF000000"/>
      </top>
      <bottom style="thin">
        <color rgb="FF999999"/>
      </bottom>
    </border>
    <border>
      <left style="thin">
        <color rgb="FF000000"/>
      </left>
      <right style="thin">
        <color rgb="FF999999"/>
      </right>
      <top style="thin">
        <color rgb="FF999999"/>
      </top>
      <bottom style="thin">
        <color rgb="FF999999"/>
      </bottom>
    </border>
    <border>
      <left style="thin">
        <color rgb="FF999999"/>
      </left>
      <right style="thin">
        <color rgb="FF999999"/>
      </right>
      <top style="thin">
        <color rgb="FF999999"/>
      </top>
    </border>
    <border>
      <left style="thin">
        <color rgb="FF999999"/>
      </left>
      <right style="thin">
        <color rgb="FF000000"/>
      </right>
      <top style="thin">
        <color rgb="FF999999"/>
      </top>
    </border>
    <border>
      <left style="thin">
        <color rgb="FF000000"/>
      </left>
      <right style="thin">
        <color rgb="FF999999"/>
      </right>
      <top style="thin">
        <color rgb="FF999999"/>
      </top>
      <bottom style="thin">
        <color rgb="FF000000"/>
      </bottom>
    </border>
    <border>
      <left style="thin">
        <color rgb="FF999999"/>
      </left>
      <top style="thin">
        <color rgb="FF999999"/>
      </top>
      <bottom style="thin">
        <color rgb="FF000000"/>
      </bottom>
    </border>
    <border>
      <left style="medium">
        <color rgb="FF000000"/>
      </left>
      <right style="thin">
        <color rgb="FF999999"/>
      </right>
      <top style="medium">
        <color rgb="FF000000"/>
      </top>
      <bottom style="medium">
        <color rgb="FF000000"/>
      </bottom>
    </border>
    <border>
      <left style="thin">
        <color rgb="FF999999"/>
      </left>
      <right style="medium">
        <color rgb="FF000000"/>
      </right>
      <top style="medium">
        <color rgb="FF000000"/>
      </top>
      <bottom style="medium">
        <color rgb="FF000000"/>
      </bottom>
    </border>
    <border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top style="thin">
        <color rgb="FF000000"/>
      </top>
    </border>
  </borders>
  <cellStyleXfs count="1">
    <xf borderId="0" fillId="0" fontId="0" numFmtId="0" applyAlignment="1" applyFont="1"/>
  </cellStyleXfs>
  <cellXfs count="13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0" xfId="0" applyAlignment="1" applyFont="1">
      <alignment shrinkToFit="0" vertical="center" wrapText="0"/>
    </xf>
    <xf borderId="0" fillId="0" fontId="1" numFmtId="164" xfId="0" applyAlignment="1" applyFont="1" applyNumberFormat="1">
      <alignment shrinkToFit="0" vertical="center" wrapText="0"/>
    </xf>
    <xf borderId="0" fillId="2" fontId="1" numFmtId="164" xfId="0" applyAlignment="1" applyFill="1" applyFont="1" applyNumberFormat="1">
      <alignment shrinkToFit="0" vertical="center" wrapText="0"/>
    </xf>
    <xf borderId="0" fillId="0" fontId="2" numFmtId="164" xfId="0" applyAlignment="1" applyFont="1" applyNumberFormat="1">
      <alignment shrinkToFit="0" vertical="center" wrapText="0"/>
    </xf>
    <xf borderId="1" fillId="0" fontId="1" numFmtId="0" xfId="0" applyAlignment="1" applyBorder="1" applyFont="1">
      <alignment readingOrder="0"/>
    </xf>
    <xf borderId="1" fillId="0" fontId="1" numFmtId="0" xfId="0" applyBorder="1" applyFont="1"/>
    <xf borderId="1" fillId="0" fontId="1" numFmtId="164" xfId="0" applyAlignment="1" applyBorder="1" applyFont="1" applyNumberFormat="1">
      <alignment readingOrder="0"/>
    </xf>
    <xf borderId="1" fillId="0" fontId="3" numFmtId="164" xfId="0" applyBorder="1" applyFont="1" applyNumberFormat="1"/>
    <xf borderId="0" fillId="0" fontId="1" numFmtId="10" xfId="0" applyFont="1" applyNumberFormat="1"/>
    <xf borderId="1" fillId="0" fontId="1" numFmtId="164" xfId="0" applyAlignment="1" applyBorder="1" applyFont="1" applyNumberFormat="1">
      <alignment horizontal="right" readingOrder="0"/>
    </xf>
    <xf borderId="1" fillId="0" fontId="1" numFmtId="164" xfId="0" applyBorder="1" applyFont="1" applyNumberFormat="1"/>
    <xf borderId="0" fillId="0" fontId="4" numFmtId="0" xfId="0" applyAlignment="1" applyFont="1">
      <alignment shrinkToFit="0" vertical="center" wrapText="0"/>
    </xf>
    <xf borderId="0" fillId="0" fontId="5" numFmtId="164" xfId="0" applyAlignment="1" applyFont="1" applyNumberFormat="1">
      <alignment shrinkToFit="0" vertical="center" wrapText="0"/>
    </xf>
    <xf borderId="0" fillId="2" fontId="6" numFmtId="164" xfId="0" applyAlignment="1" applyFont="1" applyNumberFormat="1">
      <alignment shrinkToFit="0" vertical="center" wrapText="0"/>
    </xf>
    <xf borderId="0" fillId="0" fontId="7" numFmtId="164" xfId="0" applyAlignment="1" applyFont="1" applyNumberFormat="1">
      <alignment shrinkToFit="0" vertical="center" wrapText="0"/>
    </xf>
    <xf borderId="0" fillId="0" fontId="1" numFmtId="164" xfId="0" applyFont="1" applyNumberFormat="1"/>
    <xf borderId="0" fillId="0" fontId="2" numFmtId="0" xfId="0" applyAlignment="1" applyFont="1">
      <alignment shrinkToFit="0" vertical="center" wrapText="0"/>
    </xf>
    <xf borderId="0" fillId="0" fontId="2" numFmtId="164" xfId="0" applyAlignment="1" applyFont="1" applyNumberFormat="1">
      <alignment readingOrder="0" shrinkToFit="0" vertical="center" wrapText="0"/>
    </xf>
    <xf borderId="0" fillId="2" fontId="2" numFmtId="164" xfId="0" applyAlignment="1" applyFont="1" applyNumberFormat="1">
      <alignment readingOrder="0" shrinkToFit="0" vertical="center" wrapText="0"/>
    </xf>
    <xf borderId="0" fillId="2" fontId="2" numFmtId="164" xfId="0" applyAlignment="1" applyFont="1" applyNumberFormat="1">
      <alignment shrinkToFit="0" vertical="center" wrapText="0"/>
    </xf>
    <xf borderId="0" fillId="0" fontId="8" numFmtId="0" xfId="0" applyAlignment="1" applyFont="1">
      <alignment readingOrder="0"/>
    </xf>
    <xf borderId="1" fillId="0" fontId="9" numFmtId="0" xfId="0" applyAlignment="1" applyBorder="1" applyFont="1">
      <alignment readingOrder="0"/>
    </xf>
    <xf borderId="0" fillId="0" fontId="1" numFmtId="0" xfId="0" applyAlignment="1" applyFont="1">
      <alignment readingOrder="0" shrinkToFit="0" vertical="center" wrapText="0"/>
    </xf>
    <xf borderId="1" fillId="0" fontId="10" numFmtId="0" xfId="0" applyAlignment="1" applyBorder="1" applyFont="1">
      <alignment readingOrder="0"/>
    </xf>
    <xf borderId="1" fillId="0" fontId="1" numFmtId="9" xfId="0" applyAlignment="1" applyBorder="1" applyFont="1" applyNumberFormat="1">
      <alignment readingOrder="0"/>
    </xf>
    <xf borderId="0" fillId="0" fontId="3" numFmtId="0" xfId="0" applyAlignment="1" applyFont="1">
      <alignment shrinkToFit="0" vertical="center" wrapText="0"/>
    </xf>
    <xf borderId="0" fillId="0" fontId="3" numFmtId="164" xfId="0" applyAlignment="1" applyFont="1" applyNumberFormat="1">
      <alignment shrinkToFit="0" vertical="center" wrapText="0"/>
    </xf>
    <xf borderId="0" fillId="2" fontId="3" numFmtId="164" xfId="0" applyAlignment="1" applyFont="1" applyNumberFormat="1">
      <alignment shrinkToFit="0" vertical="center" wrapText="0"/>
    </xf>
    <xf borderId="0" fillId="0" fontId="11" numFmtId="164" xfId="0" applyAlignment="1" applyFont="1" applyNumberFormat="1">
      <alignment shrinkToFit="0" vertical="center" wrapText="0"/>
    </xf>
    <xf borderId="0" fillId="0" fontId="3" numFmtId="0" xfId="0" applyAlignment="1" applyFont="1">
      <alignment readingOrder="0"/>
    </xf>
    <xf borderId="1" fillId="0" fontId="3" numFmtId="0" xfId="0" applyAlignment="1" applyBorder="1" applyFont="1">
      <alignment readingOrder="0"/>
    </xf>
    <xf borderId="0" fillId="0" fontId="1" numFmtId="0" xfId="0" applyFont="1"/>
    <xf borderId="0" fillId="3" fontId="3" numFmtId="164" xfId="0" applyFill="1" applyFont="1" applyNumberFormat="1"/>
    <xf borderId="2" fillId="2" fontId="3" numFmtId="0" xfId="0" applyAlignment="1" applyBorder="1" applyFont="1">
      <alignment readingOrder="0"/>
    </xf>
    <xf borderId="2" fillId="2" fontId="3" numFmtId="164" xfId="0" applyBorder="1" applyFont="1" applyNumberFormat="1"/>
    <xf borderId="1" fillId="0" fontId="1" numFmtId="4" xfId="0" applyAlignment="1" applyBorder="1" applyFont="1" applyNumberFormat="1">
      <alignment readingOrder="0"/>
    </xf>
    <xf borderId="1" fillId="0" fontId="1" numFmtId="2" xfId="0" applyAlignment="1" applyBorder="1" applyFont="1" applyNumberFormat="1">
      <alignment readingOrder="0"/>
    </xf>
    <xf borderId="1" fillId="0" fontId="1" numFmtId="2" xfId="0" applyBorder="1" applyFont="1" applyNumberFormat="1"/>
    <xf borderId="0" fillId="0" fontId="12" numFmtId="0" xfId="0" applyAlignment="1" applyFont="1">
      <alignment vertical="bottom"/>
    </xf>
    <xf borderId="0" fillId="0" fontId="13" numFmtId="0" xfId="0" applyAlignment="1" applyFont="1">
      <alignment vertical="bottom"/>
    </xf>
    <xf borderId="1" fillId="2" fontId="1" numFmtId="164" xfId="0" applyBorder="1" applyFont="1" applyNumberFormat="1"/>
    <xf borderId="3" fillId="0" fontId="14" numFmtId="0" xfId="0" applyAlignment="1" applyBorder="1" applyFont="1">
      <alignment vertical="bottom"/>
    </xf>
    <xf borderId="4" fillId="0" fontId="14" numFmtId="0" xfId="0" applyAlignment="1" applyBorder="1" applyFont="1">
      <alignment horizontal="right" vertical="bottom"/>
    </xf>
    <xf borderId="4" fillId="0" fontId="14" numFmtId="0" xfId="0" applyAlignment="1" applyBorder="1" applyFont="1">
      <alignment readingOrder="0" vertical="bottom"/>
    </xf>
    <xf borderId="5" fillId="0" fontId="14" numFmtId="0" xfId="0" applyAlignment="1" applyBorder="1" applyFont="1">
      <alignment horizontal="right" vertical="bottom"/>
    </xf>
    <xf borderId="6" fillId="0" fontId="14" numFmtId="0" xfId="0" applyAlignment="1" applyBorder="1" applyFont="1">
      <alignment vertical="bottom"/>
    </xf>
    <xf borderId="1" fillId="0" fontId="14" numFmtId="165" xfId="0" applyAlignment="1" applyBorder="1" applyFont="1" applyNumberFormat="1">
      <alignment horizontal="right" vertical="bottom"/>
    </xf>
    <xf borderId="7" fillId="0" fontId="14" numFmtId="0" xfId="0" applyAlignment="1" applyBorder="1" applyFont="1">
      <alignment vertical="bottom"/>
    </xf>
    <xf borderId="8" fillId="0" fontId="14" numFmtId="165" xfId="0" applyAlignment="1" applyBorder="1" applyFont="1" applyNumberFormat="1">
      <alignment horizontal="right" vertical="bottom"/>
    </xf>
    <xf borderId="9" fillId="0" fontId="14" numFmtId="0" xfId="0" applyAlignment="1" applyBorder="1" applyFont="1">
      <alignment vertical="bottom"/>
    </xf>
    <xf borderId="10" fillId="0" fontId="14" numFmtId="165" xfId="0" applyAlignment="1" applyBorder="1" applyFont="1" applyNumberFormat="1">
      <alignment horizontal="right" vertical="bottom"/>
    </xf>
    <xf borderId="11" fillId="4" fontId="15" numFmtId="0" xfId="0" applyAlignment="1" applyBorder="1" applyFill="1" applyFont="1">
      <alignment vertical="bottom"/>
    </xf>
    <xf borderId="12" fillId="4" fontId="15" numFmtId="164" xfId="0" applyAlignment="1" applyBorder="1" applyFont="1" applyNumberFormat="1">
      <alignment horizontal="right" vertical="bottom"/>
    </xf>
    <xf borderId="1" fillId="0" fontId="1" numFmtId="166" xfId="0" applyAlignment="1" applyBorder="1" applyFont="1" applyNumberFormat="1">
      <alignment readingOrder="0"/>
    </xf>
    <xf borderId="1" fillId="0" fontId="1" numFmtId="166" xfId="0" applyBorder="1" applyFont="1" applyNumberFormat="1"/>
    <xf borderId="1" fillId="0" fontId="1" numFmtId="167" xfId="0" applyAlignment="1" applyBorder="1" applyFont="1" applyNumberFormat="1">
      <alignment readingOrder="0"/>
    </xf>
    <xf borderId="1" fillId="0" fontId="1" numFmtId="167" xfId="0" applyBorder="1" applyFont="1" applyNumberFormat="1"/>
    <xf borderId="1" fillId="0" fontId="3" numFmtId="168" xfId="0" applyBorder="1" applyFont="1" applyNumberFormat="1"/>
    <xf borderId="1" fillId="0" fontId="3" numFmtId="0" xfId="0" applyBorder="1" applyFont="1"/>
    <xf borderId="1" fillId="0" fontId="1" numFmtId="168" xfId="0" applyBorder="1" applyFont="1" applyNumberFormat="1"/>
    <xf borderId="0" fillId="0" fontId="1" numFmtId="168" xfId="0" applyFont="1" applyNumberFormat="1"/>
    <xf borderId="0" fillId="0" fontId="1" numFmtId="9" xfId="0" applyAlignment="1" applyFont="1" applyNumberFormat="1">
      <alignment readingOrder="0"/>
    </xf>
    <xf borderId="0" fillId="0" fontId="1" numFmtId="0" xfId="0" applyAlignment="1" applyFont="1">
      <alignment horizontal="left" readingOrder="0" shrinkToFit="0" vertical="center" wrapText="1"/>
    </xf>
    <xf borderId="0" fillId="0" fontId="1" numFmtId="0" xfId="0" applyAlignment="1" applyFont="1">
      <alignment horizontal="left" readingOrder="0" shrinkToFit="0" vertical="center" wrapText="0"/>
    </xf>
    <xf borderId="0" fillId="0" fontId="1" numFmtId="49" xfId="0" applyAlignment="1" applyFont="1" applyNumberFormat="1">
      <alignment horizontal="left" readingOrder="0" shrinkToFit="0" vertical="center" wrapText="1"/>
    </xf>
    <xf borderId="0" fillId="0" fontId="1" numFmtId="49" xfId="0" applyAlignment="1" applyFont="1" applyNumberFormat="1">
      <alignment horizontal="left" readingOrder="0" shrinkToFit="0" vertical="center" wrapText="0"/>
    </xf>
    <xf borderId="0" fillId="0" fontId="1" numFmtId="0" xfId="0" applyAlignment="1" applyFont="1">
      <alignment horizontal="left" readingOrder="0" shrinkToFit="0" vertical="center" wrapText="0"/>
    </xf>
    <xf borderId="13" fillId="0" fontId="2" numFmtId="169" xfId="0" applyAlignment="1" applyBorder="1" applyFont="1" applyNumberFormat="1">
      <alignment readingOrder="0" shrinkToFit="0" vertical="center" wrapText="1"/>
    </xf>
    <xf borderId="13" fillId="0" fontId="1" numFmtId="169" xfId="0" applyAlignment="1" applyBorder="1" applyFont="1" applyNumberFormat="1">
      <alignment shrinkToFit="0" vertical="center" wrapText="0"/>
    </xf>
    <xf borderId="13" fillId="0" fontId="1" numFmtId="169" xfId="0" applyAlignment="1" applyBorder="1" applyFont="1" applyNumberFormat="1">
      <alignment readingOrder="0" shrinkToFit="0" vertical="center" wrapText="0"/>
    </xf>
    <xf borderId="13" fillId="0" fontId="2" numFmtId="0" xfId="0" applyAlignment="1" applyBorder="1" applyFont="1">
      <alignment readingOrder="0" shrinkToFit="0" vertical="center" wrapText="0"/>
    </xf>
    <xf borderId="13" fillId="0" fontId="1" numFmtId="0" xfId="0" applyAlignment="1" applyBorder="1" applyFont="1">
      <alignment shrinkToFit="0" vertical="center" wrapText="0"/>
    </xf>
    <xf borderId="13" fillId="0" fontId="1" numFmtId="168" xfId="0" applyAlignment="1" applyBorder="1" applyFont="1" applyNumberFormat="1">
      <alignment shrinkToFit="0" vertical="center" wrapText="0"/>
    </xf>
    <xf borderId="13" fillId="0" fontId="1" numFmtId="164" xfId="0" applyAlignment="1" applyBorder="1" applyFont="1" applyNumberFormat="1">
      <alignment shrinkToFit="0" vertical="center" wrapText="0"/>
    </xf>
    <xf borderId="13" fillId="0" fontId="1" numFmtId="164" xfId="0" applyAlignment="1" applyBorder="1" applyFont="1" applyNumberFormat="1">
      <alignment shrinkToFit="0" vertical="center" wrapText="0"/>
    </xf>
    <xf borderId="13" fillId="0" fontId="1" numFmtId="0" xfId="0" applyAlignment="1" applyBorder="1" applyFont="1">
      <alignment readingOrder="0" shrinkToFit="0" vertical="center" wrapText="0"/>
    </xf>
    <xf borderId="13" fillId="0" fontId="1" numFmtId="10" xfId="0" applyAlignment="1" applyBorder="1" applyFont="1" applyNumberFormat="1">
      <alignment readingOrder="0" shrinkToFit="0" vertical="center" wrapText="0"/>
    </xf>
    <xf borderId="0" fillId="0" fontId="1" numFmtId="169" xfId="0" applyAlignment="1" applyFont="1" applyNumberFormat="1">
      <alignment readingOrder="0" shrinkToFit="0" vertical="center" wrapText="0"/>
    </xf>
    <xf borderId="0" fillId="0" fontId="1" numFmtId="169" xfId="0" applyAlignment="1" applyFont="1" applyNumberFormat="1">
      <alignment shrinkToFit="0" vertical="center" wrapText="1"/>
    </xf>
    <xf borderId="0" fillId="0" fontId="1" numFmtId="169" xfId="0" applyAlignment="1" applyFont="1" applyNumberFormat="1">
      <alignment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168" xfId="0" applyAlignment="1" applyFont="1" applyNumberFormat="1">
      <alignment shrinkToFit="0" vertical="center" wrapText="0"/>
    </xf>
    <xf borderId="0" fillId="0" fontId="3" numFmtId="168" xfId="0" applyAlignment="1" applyFont="1" applyNumberFormat="1">
      <alignment shrinkToFit="0" vertical="center" wrapText="0"/>
    </xf>
    <xf borderId="0" fillId="0" fontId="2" numFmtId="164" xfId="0" applyAlignment="1" applyFont="1" applyNumberFormat="1">
      <alignment shrinkToFit="0" vertical="center" wrapText="0"/>
    </xf>
    <xf borderId="0" fillId="0" fontId="3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168" xfId="0" applyAlignment="1" applyFont="1" applyNumberFormat="1">
      <alignment readingOrder="0" shrinkToFit="0" vertical="center" wrapText="0"/>
    </xf>
    <xf borderId="0" fillId="0" fontId="3" numFmtId="168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168" xfId="0" applyAlignment="1" applyFont="1" applyNumberFormat="1">
      <alignment readingOrder="0" shrinkToFit="0" vertical="center" wrapText="0"/>
    </xf>
    <xf borderId="14" fillId="0" fontId="1" numFmtId="169" xfId="0" applyAlignment="1" applyBorder="1" applyFont="1" applyNumberFormat="1">
      <alignment readingOrder="0" shrinkToFit="0" vertical="center" wrapText="1"/>
    </xf>
    <xf borderId="14" fillId="0" fontId="1" numFmtId="169" xfId="0" applyAlignment="1" applyBorder="1" applyFont="1" applyNumberFormat="1">
      <alignment shrinkToFit="0" vertical="center" wrapText="0"/>
    </xf>
    <xf borderId="14" fillId="0" fontId="1" numFmtId="169" xfId="0" applyAlignment="1" applyBorder="1" applyFont="1" applyNumberFormat="1">
      <alignment readingOrder="0" shrinkToFit="0" vertical="center" wrapText="0"/>
    </xf>
    <xf borderId="14" fillId="0" fontId="2" numFmtId="0" xfId="0" applyAlignment="1" applyBorder="1" applyFont="1">
      <alignment readingOrder="0" shrinkToFit="0" vertical="center" wrapText="0"/>
    </xf>
    <xf borderId="14" fillId="0" fontId="1" numFmtId="0" xfId="0" applyAlignment="1" applyBorder="1" applyFont="1">
      <alignment shrinkToFit="0" vertical="center" wrapText="0"/>
    </xf>
    <xf borderId="14" fillId="0" fontId="1" numFmtId="0" xfId="0" applyAlignment="1" applyBorder="1" applyFont="1">
      <alignment shrinkToFit="0" vertical="center" wrapText="0"/>
    </xf>
    <xf borderId="14" fillId="0" fontId="1" numFmtId="168" xfId="0" applyAlignment="1" applyBorder="1" applyFont="1" applyNumberFormat="1">
      <alignment shrinkToFit="0" vertical="center" wrapText="0"/>
    </xf>
    <xf borderId="14" fillId="0" fontId="2" numFmtId="164" xfId="0" applyAlignment="1" applyBorder="1" applyFont="1" applyNumberFormat="1">
      <alignment shrinkToFit="0" vertical="center" wrapText="0"/>
    </xf>
    <xf borderId="14" fillId="0" fontId="3" numFmtId="164" xfId="0" applyAlignment="1" applyBorder="1" applyFont="1" applyNumberFormat="1">
      <alignment shrinkToFit="0" vertical="center" wrapText="0"/>
    </xf>
    <xf borderId="14" fillId="0" fontId="1" numFmtId="10" xfId="0" applyAlignment="1" applyBorder="1" applyFont="1" applyNumberFormat="1">
      <alignment shrinkToFit="0" vertical="center" wrapText="0"/>
    </xf>
    <xf borderId="0" fillId="0" fontId="1" numFmtId="168" xfId="0" applyAlignment="1" applyFont="1" applyNumberFormat="1">
      <alignment readingOrder="0" shrinkToFit="0" vertical="center" wrapText="0"/>
    </xf>
    <xf borderId="0" fillId="0" fontId="1" numFmtId="169" xfId="0" applyAlignment="1" applyFont="1" applyNumberFormat="1">
      <alignment readingOrder="0" shrinkToFit="0" vertical="center" wrapText="1"/>
    </xf>
    <xf borderId="0" fillId="0" fontId="1" numFmtId="170" xfId="0" applyAlignment="1" applyFont="1" applyNumberFormat="1">
      <alignment readingOrder="0" shrinkToFit="0" vertical="center" wrapText="0"/>
    </xf>
    <xf borderId="0" fillId="0" fontId="3" numFmtId="164" xfId="0" applyAlignment="1" applyFont="1" applyNumberFormat="1">
      <alignment shrinkToFit="0" vertical="center" wrapText="0"/>
    </xf>
    <xf borderId="15" fillId="0" fontId="3" numFmtId="0" xfId="0" applyAlignment="1" applyBorder="1" applyFont="1">
      <alignment readingOrder="0" shrinkToFit="0" vertical="center" wrapText="0"/>
    </xf>
    <xf borderId="15" fillId="0" fontId="1" numFmtId="0" xfId="0" applyAlignment="1" applyBorder="1" applyFont="1">
      <alignment shrinkToFit="0" vertical="center" wrapText="0"/>
    </xf>
    <xf borderId="15" fillId="0" fontId="3" numFmtId="0" xfId="0" applyAlignment="1" applyBorder="1" applyFont="1">
      <alignment shrinkToFit="0" vertical="center" wrapText="0"/>
    </xf>
    <xf borderId="15" fillId="0" fontId="3" numFmtId="168" xfId="0" applyAlignment="1" applyBorder="1" applyFont="1" applyNumberFormat="1">
      <alignment shrinkToFit="0" vertical="center" wrapText="0"/>
    </xf>
    <xf borderId="15" fillId="0" fontId="2" numFmtId="164" xfId="0" applyAlignment="1" applyBorder="1" applyFont="1" applyNumberFormat="1">
      <alignment shrinkToFit="0" vertical="center" wrapText="0"/>
    </xf>
    <xf borderId="15" fillId="0" fontId="3" numFmtId="164" xfId="0" applyAlignment="1" applyBorder="1" applyFont="1" applyNumberFormat="1">
      <alignment shrinkToFit="0" vertical="center" wrapText="0"/>
    </xf>
    <xf borderId="15" fillId="0" fontId="1" numFmtId="10" xfId="0" applyAlignment="1" applyBorder="1" applyFont="1" applyNumberFormat="1">
      <alignment shrinkToFit="0" vertical="center" wrapText="0"/>
    </xf>
    <xf borderId="2" fillId="3" fontId="16" numFmtId="164" xfId="0" applyAlignment="1" applyBorder="1" applyFont="1" applyNumberFormat="1">
      <alignment shrinkToFit="0" vertical="center" wrapText="0"/>
    </xf>
    <xf borderId="0" fillId="5" fontId="17" numFmtId="0" xfId="0" applyAlignment="1" applyFill="1" applyFont="1">
      <alignment horizontal="right" shrinkToFit="0" vertical="top" wrapText="1"/>
    </xf>
    <xf borderId="0" fillId="0" fontId="3" numFmtId="164" xfId="0" applyFont="1" applyNumberFormat="1"/>
    <xf borderId="0" fillId="5" fontId="18" numFmtId="0" xfId="0" applyAlignment="1" applyFont="1">
      <alignment shrinkToFit="0" vertical="top" wrapText="1"/>
    </xf>
    <xf borderId="0" fillId="5" fontId="19" numFmtId="171" xfId="0" applyFont="1" applyNumberFormat="1"/>
    <xf borderId="0" fillId="0" fontId="3" numFmtId="10" xfId="0" applyFont="1" applyNumberFormat="1"/>
    <xf borderId="0" fillId="5" fontId="20" numFmtId="0" xfId="0" applyAlignment="1" applyFont="1">
      <alignment horizontal="left" readingOrder="0" shrinkToFit="0" vertical="top" wrapText="1"/>
    </xf>
    <xf borderId="0" fillId="5" fontId="20" numFmtId="172" xfId="0" applyAlignment="1" applyFont="1" applyNumberFormat="1">
      <alignment horizontal="left" readingOrder="0" shrinkToFit="0" vertical="top" wrapText="1"/>
    </xf>
    <xf borderId="0" fillId="0" fontId="1" numFmtId="168" xfId="0" applyAlignment="1" applyFont="1" applyNumberFormat="1">
      <alignment readingOrder="0"/>
    </xf>
    <xf borderId="0" fillId="0" fontId="1" numFmtId="0" xfId="0" applyFont="1"/>
    <xf borderId="0" fillId="5" fontId="20" numFmtId="0" xfId="0" applyAlignment="1" applyFont="1">
      <alignment horizontal="left" shrinkToFit="0" vertical="top" wrapText="1"/>
    </xf>
    <xf borderId="0" fillId="0" fontId="21" numFmtId="0" xfId="0" applyAlignment="1" applyFont="1">
      <alignment horizontal="left" readingOrder="0" shrinkToFit="0" vertical="top" wrapText="1"/>
    </xf>
    <xf borderId="0" fillId="5" fontId="22" numFmtId="0" xfId="0" applyAlignment="1" applyFont="1">
      <alignment horizontal="right" readingOrder="0" shrinkToFit="0" vertical="top" wrapText="1"/>
    </xf>
    <xf borderId="0" fillId="5" fontId="23" numFmtId="0" xfId="0" applyAlignment="1" applyFont="1">
      <alignment horizontal="left" readingOrder="0" shrinkToFit="0" vertical="top" wrapText="1"/>
    </xf>
    <xf borderId="0" fillId="5" fontId="24" numFmtId="0" xfId="0" applyAlignment="1" applyFont="1">
      <alignment horizontal="left" readingOrder="0" shrinkToFit="0" vertical="top" wrapText="1"/>
    </xf>
    <xf borderId="0" fillId="5" fontId="25" numFmtId="172" xfId="0" applyAlignment="1" applyFont="1" applyNumberFormat="1">
      <alignment horizontal="left" readingOrder="0" shrinkToFit="0" vertical="top" wrapText="1"/>
    </xf>
    <xf borderId="0" fillId="5" fontId="26" numFmtId="0" xfId="0" applyAlignment="1" applyFont="1">
      <alignment horizontal="left" shrinkToFit="0" vertical="top" wrapText="1"/>
    </xf>
    <xf borderId="0" fillId="0" fontId="1" numFmtId="173" xfId="0" applyAlignment="1" applyFont="1" applyNumberFormat="1">
      <alignment readingOrder="0"/>
    </xf>
    <xf borderId="0" fillId="0" fontId="3" numFmtId="164" xfId="0" applyFont="1" applyNumberFormat="1"/>
    <xf borderId="0" fillId="0" fontId="1" numFmtId="164" xfId="0" applyFont="1" applyNumberFormat="1"/>
    <xf borderId="0" fillId="0" fontId="1" numFmtId="174" xfId="0" applyAlignment="1" applyFont="1" applyNumberFormat="1">
      <alignment readingOrder="0"/>
    </xf>
    <xf borderId="0" fillId="0" fontId="2" numFmtId="164" xfId="0" applyFont="1" applyNumberFormat="1"/>
    <xf borderId="0" fillId="0" fontId="1" numFmtId="174" xfId="0" applyFont="1" applyNumberFormat="1"/>
  </cellXfs>
  <cellStyles count="1">
    <cellStyle xfId="0" name="Normal" builtinId="0"/>
  </cellStyles>
  <dxfs count="8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F4CCCC"/>
          <bgColor rgb="FFF4CCCC"/>
        </patternFill>
      </fill>
      <border/>
    </dxf>
    <dxf>
      <font/>
      <fill>
        <patternFill patternType="solid">
          <fgColor rgb="FFE6B8AF"/>
          <bgColor rgb="FFE6B8AF"/>
        </patternFill>
      </fill>
      <border/>
    </dxf>
  </dxfs>
  <tableStyles count="2">
    <tableStyle count="4" pivot="0" name="Pay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2024 Stock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G12" displayName="Pay" name="Pay" id="1">
  <tableColumns count="7">
    <tableColumn name="Year" id="1"/>
    <tableColumn name="2023" id="2"/>
    <tableColumn name="2024" id="3"/>
    <tableColumn name="Bonus" id="4"/>
    <tableColumn name="2025" id="5"/>
    <tableColumn name="2025v2" id="6"/>
    <tableColumn name="2026" id="7"/>
  </tableColumns>
  <tableStyleInfo name="Pay-style" showColumnStripes="0" showFirstColumn="1" showLastColumn="1" showRowStripes="1"/>
</table>
</file>

<file path=xl/tables/table2.xml><?xml version="1.0" encoding="utf-8"?>
<table xmlns="http://schemas.openxmlformats.org/spreadsheetml/2006/main" ref="A1:R16" displayName="Stock" name="Stock" id="2">
  <tableColumns count="18">
    <tableColumn name="Vesting" id="1"/>
    <tableColumn name="Distro" id="2"/>
    <tableColumn name="Available" id="3"/>
    <tableColumn name="Qty" id="4"/>
    <tableColumn name="Tax" id="5"/>
    <tableColumn name="Tax val" id="6"/>
    <tableColumn name="Tax $" id="7"/>
    <tableColumn name="Tax req" id="8"/>
    <tableColumn name="dx" id="9"/>
    <tableColumn name="Dist'd" id="10"/>
    <tableColumn name="Sell pc" id="11"/>
    <tableColumn name="Sell date" id="12"/>
    <tableColumn name="Proceeds" id="13"/>
    <tableColumn name="~GBP" id="14"/>
    <tableColumn name="Actual" id="15"/>
    <tableColumn name="Sold" id="16"/>
    <tableColumn name="Received" id="17"/>
    <tableColumn name="Pay" id="18"/>
  </tableColumns>
  <tableStyleInfo name="2024 Stock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5.63"/>
    <col customWidth="1" min="3" max="3" width="12.5"/>
    <col customWidth="1" min="4" max="4" width="13.38"/>
    <col customWidth="1" min="6" max="6" width="12.88"/>
    <col customWidth="1" min="7" max="9" width="17.25"/>
    <col customWidth="1" min="10" max="10" width="15.75"/>
    <col customWidth="1" min="12" max="12" width="14.0"/>
    <col customWidth="1" min="13" max="14" width="13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 t="s">
        <v>6</v>
      </c>
      <c r="H1" s="3"/>
      <c r="I1" s="3" t="s">
        <v>0</v>
      </c>
      <c r="J1" s="4" t="s">
        <v>7</v>
      </c>
      <c r="K1" s="4" t="s">
        <v>8</v>
      </c>
      <c r="L1" s="3" t="s">
        <v>9</v>
      </c>
      <c r="M1" s="3" t="s">
        <v>10</v>
      </c>
      <c r="N1" s="3" t="s">
        <v>3</v>
      </c>
      <c r="O1" s="3" t="s">
        <v>11</v>
      </c>
      <c r="P1" s="3" t="s">
        <v>12</v>
      </c>
      <c r="Q1" s="3" t="s">
        <v>13</v>
      </c>
      <c r="R1" s="3" t="s">
        <v>14</v>
      </c>
      <c r="S1" s="3" t="s">
        <v>15</v>
      </c>
    </row>
    <row r="2">
      <c r="A2" s="5" t="s">
        <v>7</v>
      </c>
      <c r="B2" s="6">
        <f>J3/12</f>
        <v>3750</v>
      </c>
      <c r="C2" s="7">
        <f>J4/12</f>
        <v>4207.936667</v>
      </c>
      <c r="D2" s="8">
        <f>J4/12 + 4000</f>
        <v>8207.936667</v>
      </c>
      <c r="E2" s="7">
        <f>J5/12</f>
        <v>4207.936667</v>
      </c>
      <c r="F2" s="7">
        <f>J5/12</f>
        <v>4207.936667</v>
      </c>
      <c r="G2" s="7">
        <f>J5/12</f>
        <v>4207.936667</v>
      </c>
      <c r="H2" s="3"/>
      <c r="I2" s="9">
        <v>2022.0</v>
      </c>
      <c r="J2" s="9">
        <v>35000.0</v>
      </c>
      <c r="K2" s="9" t="s">
        <v>16</v>
      </c>
      <c r="L2" s="10"/>
      <c r="M2" s="10"/>
      <c r="N2" s="10"/>
      <c r="O2" s="9">
        <v>40173.24</v>
      </c>
      <c r="P2" s="10"/>
      <c r="Q2" s="10"/>
    </row>
    <row r="3">
      <c r="A3" s="5" t="s">
        <v>17</v>
      </c>
      <c r="B3" s="6">
        <f t="shared" ref="B3:C3" si="1">-B2*0.06</f>
        <v>-225</v>
      </c>
      <c r="C3" s="7">
        <f t="shared" si="1"/>
        <v>-252.4762</v>
      </c>
      <c r="D3" s="8">
        <f>C3</f>
        <v>-252.4762</v>
      </c>
      <c r="E3" s="7">
        <f t="shared" ref="E3:G3" si="2">-R9/12-R11/12</f>
        <v>-477.3904148</v>
      </c>
      <c r="F3" s="7">
        <f t="shared" si="2"/>
        <v>-387.4247289</v>
      </c>
      <c r="G3" s="7">
        <f t="shared" si="2"/>
        <v>-387.4247289</v>
      </c>
      <c r="H3" s="3"/>
      <c r="I3" s="9">
        <v>2023.0</v>
      </c>
      <c r="J3" s="11">
        <v>45000.0</v>
      </c>
      <c r="K3" s="11">
        <f>J22</f>
        <v>8277.4824</v>
      </c>
      <c r="L3" s="4">
        <v>6773.53</v>
      </c>
      <c r="M3" s="11">
        <v>3000.0</v>
      </c>
      <c r="N3" s="11">
        <v>0.0</v>
      </c>
      <c r="O3" s="12">
        <f>SUM(J3,K3,M3,N3)</f>
        <v>56277.4824</v>
      </c>
      <c r="P3" s="10"/>
      <c r="Q3" s="10"/>
      <c r="R3" s="13">
        <f>(O3/O2)-1</f>
        <v>0.4008698925</v>
      </c>
    </row>
    <row r="4">
      <c r="A4" s="5" t="s">
        <v>18</v>
      </c>
      <c r="B4" s="6">
        <f>K3/12</f>
        <v>689.7902</v>
      </c>
      <c r="C4" s="7">
        <f>K4/12</f>
        <v>689.7902</v>
      </c>
      <c r="D4" s="8">
        <f>K4/12</f>
        <v>689.7902</v>
      </c>
      <c r="E4" s="7">
        <f>K5/12</f>
        <v>618.8338031</v>
      </c>
      <c r="F4" s="7">
        <f>K5/12</f>
        <v>618.8338031</v>
      </c>
      <c r="G4" s="7">
        <f>K6/12</f>
        <v>718.5295333</v>
      </c>
      <c r="H4" s="3"/>
      <c r="I4" s="9">
        <v>2024.0</v>
      </c>
      <c r="J4" s="14">
        <v>50495.24</v>
      </c>
      <c r="K4" s="11">
        <f>J22</f>
        <v>8277.4824</v>
      </c>
      <c r="L4" s="4">
        <v>14618.56</v>
      </c>
      <c r="M4" s="11">
        <f>'2024 Stock'!O16</f>
        <v>6486.448328</v>
      </c>
      <c r="N4" s="11">
        <v>4000.0</v>
      </c>
      <c r="O4" s="12">
        <f t="shared" ref="O4:O6" si="4">SUM(J4,K4,L4,N4)</f>
        <v>77391.2824</v>
      </c>
      <c r="P4" s="15">
        <f>C12*11+D12+M4</f>
        <v>48731.40257</v>
      </c>
      <c r="Q4" s="15">
        <f>C12*12</f>
        <v>40284.95424</v>
      </c>
      <c r="R4" s="13">
        <f>O4/O3-1</f>
        <v>0.3751731439</v>
      </c>
    </row>
    <row r="5">
      <c r="A5" s="16" t="s">
        <v>19</v>
      </c>
      <c r="B5" s="17">
        <f t="shared" ref="B5:G5" si="3">SUM(B2:B4)</f>
        <v>4214.7902</v>
      </c>
      <c r="C5" s="18">
        <f t="shared" si="3"/>
        <v>4645.250667</v>
      </c>
      <c r="D5" s="19">
        <f t="shared" si="3"/>
        <v>8645.250667</v>
      </c>
      <c r="E5" s="18">
        <f t="shared" si="3"/>
        <v>4349.380055</v>
      </c>
      <c r="F5" s="18">
        <f t="shared" si="3"/>
        <v>4439.345741</v>
      </c>
      <c r="G5" s="18">
        <f t="shared" si="3"/>
        <v>4539.041471</v>
      </c>
      <c r="H5" s="3"/>
      <c r="I5" s="9">
        <v>2025.0</v>
      </c>
      <c r="J5" s="11">
        <v>50495.24</v>
      </c>
      <c r="K5" s="11">
        <f>K22</f>
        <v>7426.005637</v>
      </c>
      <c r="L5" s="20">
        <f t="shared" ref="L5:L6" si="7">M5/0.45</f>
        <v>14801.60748</v>
      </c>
      <c r="M5" s="11">
        <f>'2024 Stock'!K20</f>
        <v>6660.723365</v>
      </c>
      <c r="N5" s="11">
        <v>0.0</v>
      </c>
      <c r="O5" s="12">
        <f t="shared" si="4"/>
        <v>72722.85312</v>
      </c>
      <c r="P5" s="15">
        <f t="shared" ref="P5:P6" si="8">E12*12+M5</f>
        <v>45210.41815</v>
      </c>
      <c r="Q5" s="15">
        <f t="shared" ref="Q5:Q6" si="9">E12*12</f>
        <v>38549.69478</v>
      </c>
      <c r="R5" s="13">
        <f t="shared" ref="R5:S5" si="5">(O5-O4)/O4</f>
        <v>-0.06032241797</v>
      </c>
      <c r="S5" s="13">
        <f t="shared" si="5"/>
        <v>-0.07225288489</v>
      </c>
    </row>
    <row r="6">
      <c r="A6" s="21" t="s">
        <v>20</v>
      </c>
      <c r="B6" s="22">
        <f>IF(B5&gt;$O26,($O26-$O25)*0.2,(B5-$O25)*0.2)</f>
        <v>632.3333333</v>
      </c>
      <c r="C6" s="23">
        <f>IF(C5&gt;$O$26,($O$26-$O$25)*0.2,(C5-$O$25)*0.2)</f>
        <v>632.3333333</v>
      </c>
      <c r="D6" s="22">
        <f>IF(D5&gt;$O26,($O26-$O25)*0.2,(D5-$O25)*0.2)</f>
        <v>632.3333333</v>
      </c>
      <c r="E6" s="23">
        <f t="shared" ref="E6:G6" si="6">IF(E5&gt;$O$26,($O$26-$O$25)*0.2,(E5-$O$25)*0.2)</f>
        <v>632.3333333</v>
      </c>
      <c r="F6" s="23">
        <f t="shared" si="6"/>
        <v>632.3333333</v>
      </c>
      <c r="G6" s="23">
        <f t="shared" si="6"/>
        <v>632.3333333</v>
      </c>
      <c r="I6" s="9">
        <v>2026.0</v>
      </c>
      <c r="J6" s="11">
        <v>50495.24</v>
      </c>
      <c r="K6" s="11">
        <f>M22</f>
        <v>8622.3544</v>
      </c>
      <c r="L6" s="20">
        <f t="shared" si="7"/>
        <v>14801.60748</v>
      </c>
      <c r="M6" s="11">
        <f>'2024 Stock'!K20</f>
        <v>6660.723365</v>
      </c>
      <c r="N6" s="11">
        <v>0.0</v>
      </c>
      <c r="O6" s="12">
        <f t="shared" si="4"/>
        <v>73919.20188</v>
      </c>
      <c r="P6" s="15">
        <f t="shared" si="8"/>
        <v>6660.723365</v>
      </c>
      <c r="Q6" s="10">
        <f t="shared" si="9"/>
        <v>0</v>
      </c>
      <c r="R6" s="13">
        <f t="shared" ref="R6:S6" si="10">(O6-O5)/O5</f>
        <v>0.0164507952</v>
      </c>
      <c r="S6" s="13">
        <f t="shared" si="10"/>
        <v>-0.852672821</v>
      </c>
    </row>
    <row r="7">
      <c r="A7" s="21" t="s">
        <v>21</v>
      </c>
      <c r="B7" s="8">
        <f t="shared" ref="B7:G7" si="11">IF(B5&gt;$O26,(B5-$O26)*0.4,0)</f>
        <v>10.24941333</v>
      </c>
      <c r="C7" s="24">
        <f t="shared" si="11"/>
        <v>182.4336</v>
      </c>
      <c r="D7" s="8">
        <f t="shared" si="11"/>
        <v>1782.4336</v>
      </c>
      <c r="E7" s="24">
        <f t="shared" si="11"/>
        <v>64.0853553</v>
      </c>
      <c r="F7" s="24">
        <f t="shared" si="11"/>
        <v>100.0716297</v>
      </c>
      <c r="G7" s="24">
        <f t="shared" si="11"/>
        <v>139.9499218</v>
      </c>
      <c r="H7" s="25"/>
      <c r="Q7" s="10"/>
      <c r="R7" s="10"/>
      <c r="S7" s="10"/>
    </row>
    <row r="8">
      <c r="A8" s="5" t="s">
        <v>22</v>
      </c>
      <c r="B8" s="6">
        <f t="shared" ref="B8:G8" si="12">SUM(B6:B7)</f>
        <v>642.5827467</v>
      </c>
      <c r="C8" s="7">
        <f t="shared" si="12"/>
        <v>814.7669333</v>
      </c>
      <c r="D8" s="8">
        <f t="shared" si="12"/>
        <v>2414.766933</v>
      </c>
      <c r="E8" s="7">
        <f t="shared" si="12"/>
        <v>696.4186886</v>
      </c>
      <c r="F8" s="7">
        <f t="shared" si="12"/>
        <v>732.404963</v>
      </c>
      <c r="G8" s="7">
        <f t="shared" si="12"/>
        <v>772.2832551</v>
      </c>
      <c r="H8" s="3"/>
      <c r="I8" s="26" t="s">
        <v>23</v>
      </c>
      <c r="J8" s="10"/>
      <c r="K8" s="10"/>
      <c r="M8" s="25"/>
      <c r="P8" s="26" t="s">
        <v>17</v>
      </c>
      <c r="Q8" s="9">
        <v>2024.0</v>
      </c>
      <c r="R8" s="9">
        <v>2025.0</v>
      </c>
      <c r="S8" s="9" t="s">
        <v>5</v>
      </c>
      <c r="T8" s="9">
        <v>2026.0</v>
      </c>
    </row>
    <row r="9">
      <c r="A9" s="27" t="s">
        <v>24</v>
      </c>
      <c r="B9" s="6">
        <f t="shared" ref="B9:G9" si="13">(B5-$O29)*0.02+($O29-$N29)*0.08</f>
        <v>251.795004</v>
      </c>
      <c r="C9" s="7">
        <f t="shared" si="13"/>
        <v>260.4042133</v>
      </c>
      <c r="D9" s="8">
        <f t="shared" si="13"/>
        <v>340.4042133</v>
      </c>
      <c r="E9" s="7">
        <f t="shared" si="13"/>
        <v>254.4868011</v>
      </c>
      <c r="F9" s="7">
        <f t="shared" si="13"/>
        <v>256.2861148</v>
      </c>
      <c r="G9" s="7">
        <f t="shared" si="13"/>
        <v>258.2800294</v>
      </c>
      <c r="H9" s="3"/>
      <c r="I9" s="9" t="s">
        <v>0</v>
      </c>
      <c r="J9" s="28">
        <v>2024.0</v>
      </c>
      <c r="K9" s="28">
        <v>2025.0</v>
      </c>
      <c r="L9" s="28" t="s">
        <v>5</v>
      </c>
      <c r="M9" s="28">
        <v>2026.0</v>
      </c>
      <c r="P9" s="9" t="s">
        <v>0</v>
      </c>
      <c r="Q9" s="15">
        <f>J4*0.06</f>
        <v>3029.7144</v>
      </c>
      <c r="R9" s="15">
        <f>J5*0.06</f>
        <v>3029.7144</v>
      </c>
      <c r="S9" s="15">
        <f>J5*0.06</f>
        <v>3029.7144</v>
      </c>
      <c r="T9" s="15">
        <f>J6*0.06</f>
        <v>3029.7144</v>
      </c>
    </row>
    <row r="10">
      <c r="A10" s="5" t="s">
        <v>25</v>
      </c>
      <c r="B10" s="6">
        <f t="shared" ref="B10:C10" si="14">ROUNDDOWN((B5-$N$34)*$L$33,0)</f>
        <v>174</v>
      </c>
      <c r="C10" s="7">
        <f t="shared" si="14"/>
        <v>213</v>
      </c>
      <c r="D10" s="8">
        <f>ROUNDDOWN((D5-$N$34)*$L33,0)</f>
        <v>573</v>
      </c>
      <c r="E10" s="7">
        <f t="shared" ref="E10:G10" si="15">ROUNDDOWN((E5-$N$34)*$L$33,0)</f>
        <v>186</v>
      </c>
      <c r="F10" s="7">
        <f t="shared" si="15"/>
        <v>194</v>
      </c>
      <c r="G10" s="7">
        <f t="shared" si="15"/>
        <v>203</v>
      </c>
      <c r="H10" s="3"/>
      <c r="I10" s="9" t="s">
        <v>26</v>
      </c>
      <c r="J10" s="29">
        <v>0.12</v>
      </c>
      <c r="K10" s="29">
        <v>0.12</v>
      </c>
      <c r="L10" s="29">
        <v>0.12</v>
      </c>
      <c r="M10" s="29">
        <v>0.12</v>
      </c>
      <c r="P10" s="9" t="s">
        <v>7</v>
      </c>
      <c r="Q10" s="15">
        <f t="shared" ref="Q10:T10" si="16">Q9</f>
        <v>3029.7144</v>
      </c>
      <c r="R10" s="15">
        <f t="shared" si="16"/>
        <v>3029.7144</v>
      </c>
      <c r="S10" s="15">
        <f t="shared" si="16"/>
        <v>3029.7144</v>
      </c>
      <c r="T10" s="15">
        <f t="shared" si="16"/>
        <v>3029.7144</v>
      </c>
    </row>
    <row r="11">
      <c r="A11" s="30" t="s">
        <v>27</v>
      </c>
      <c r="B11" s="31">
        <f t="shared" ref="B11:G11" si="17">SUM(B8:B10)</f>
        <v>1068.377751</v>
      </c>
      <c r="C11" s="32">
        <f t="shared" si="17"/>
        <v>1288.171147</v>
      </c>
      <c r="D11" s="33">
        <f t="shared" si="17"/>
        <v>3328.171147</v>
      </c>
      <c r="E11" s="32">
        <f t="shared" si="17"/>
        <v>1136.90549</v>
      </c>
      <c r="F11" s="32">
        <f t="shared" si="17"/>
        <v>1182.691078</v>
      </c>
      <c r="G11" s="32">
        <f t="shared" si="17"/>
        <v>1233.563285</v>
      </c>
      <c r="H11" s="34"/>
      <c r="I11" s="9" t="s">
        <v>28</v>
      </c>
      <c r="J11" s="29">
        <v>0.0</v>
      </c>
      <c r="K11" s="29">
        <v>0.05</v>
      </c>
      <c r="L11" s="29">
        <v>0.03</v>
      </c>
      <c r="M11" s="29">
        <v>0.03</v>
      </c>
      <c r="P11" s="9" t="s">
        <v>29</v>
      </c>
      <c r="Q11" s="9">
        <v>0.0</v>
      </c>
      <c r="R11" s="15">
        <f>J5*K11*1.069</f>
        <v>2698.970578</v>
      </c>
      <c r="S11" s="15">
        <f>J5*L11*1.069</f>
        <v>1619.382347</v>
      </c>
      <c r="T11" s="15">
        <f>J6*M11*1.069</f>
        <v>1619.382347</v>
      </c>
    </row>
    <row r="12">
      <c r="A12" s="16" t="s">
        <v>30</v>
      </c>
      <c r="B12" s="17">
        <f t="shared" ref="B12:G12" si="18">B5-B11</f>
        <v>3146.412449</v>
      </c>
      <c r="C12" s="18">
        <f t="shared" si="18"/>
        <v>3357.07952</v>
      </c>
      <c r="D12" s="19">
        <f t="shared" si="18"/>
        <v>5317.07952</v>
      </c>
      <c r="E12" s="18">
        <f t="shared" si="18"/>
        <v>3212.474565</v>
      </c>
      <c r="F12" s="18">
        <f t="shared" si="18"/>
        <v>3256.654663</v>
      </c>
      <c r="G12" s="18">
        <f t="shared" si="18"/>
        <v>3305.478187</v>
      </c>
      <c r="H12" s="3"/>
      <c r="I12" s="35" t="s">
        <v>31</v>
      </c>
      <c r="J12" s="35">
        <v>9575.0</v>
      </c>
      <c r="K12" s="35">
        <v>10174.0</v>
      </c>
      <c r="L12" s="35">
        <v>10174.0</v>
      </c>
      <c r="M12" s="35">
        <v>10174.0</v>
      </c>
      <c r="P12" s="9" t="s">
        <v>32</v>
      </c>
      <c r="Q12" s="10">
        <f t="shared" ref="Q12:T12" si="19">J18</f>
        <v>0</v>
      </c>
      <c r="R12" s="10">
        <f t="shared" si="19"/>
        <v>0</v>
      </c>
      <c r="S12" s="10">
        <f t="shared" si="19"/>
        <v>0</v>
      </c>
      <c r="T12" s="10">
        <f t="shared" si="19"/>
        <v>0</v>
      </c>
      <c r="U12" s="3" t="s">
        <v>33</v>
      </c>
    </row>
    <row r="13">
      <c r="G13" s="3"/>
      <c r="H13" s="3"/>
      <c r="I13" s="9" t="s">
        <v>34</v>
      </c>
      <c r="J13" s="9">
        <v>126.6</v>
      </c>
      <c r="K13" s="9">
        <v>331.2</v>
      </c>
      <c r="L13" s="9">
        <v>331.2</v>
      </c>
      <c r="M13" s="36">
        <v>331.2</v>
      </c>
      <c r="P13" s="9" t="s">
        <v>35</v>
      </c>
      <c r="Q13" s="15">
        <f t="shared" ref="Q13:T13" si="20">SUM(Q9:Q12)</f>
        <v>6059.4288</v>
      </c>
      <c r="R13" s="15">
        <f t="shared" si="20"/>
        <v>8758.399378</v>
      </c>
      <c r="S13" s="15">
        <f t="shared" si="20"/>
        <v>7678.811147</v>
      </c>
      <c r="T13" s="15">
        <f t="shared" si="20"/>
        <v>7678.811147</v>
      </c>
      <c r="U13" s="37">
        <f>R13-Q13</f>
        <v>2698.970578</v>
      </c>
    </row>
    <row r="14">
      <c r="A14" s="3" t="s">
        <v>36</v>
      </c>
      <c r="B14" s="13">
        <f t="shared" ref="B14:F14" si="21">1 - B12/B5</f>
        <v>0.2534830205</v>
      </c>
      <c r="C14" s="13">
        <f t="shared" si="21"/>
        <v>0.2773092862</v>
      </c>
      <c r="D14" s="13">
        <f t="shared" si="21"/>
        <v>0.3849710407</v>
      </c>
      <c r="E14" s="13">
        <f t="shared" si="21"/>
        <v>0.2613948368</v>
      </c>
      <c r="F14" s="13">
        <f t="shared" si="21"/>
        <v>0.2664111216</v>
      </c>
      <c r="G14" s="3"/>
      <c r="H14" s="3"/>
      <c r="I14" s="9" t="s">
        <v>37</v>
      </c>
      <c r="J14" s="9">
        <v>18.5</v>
      </c>
      <c r="K14" s="9">
        <v>19.5</v>
      </c>
      <c r="L14" s="9">
        <v>19.5</v>
      </c>
      <c r="M14" s="9">
        <v>19.5</v>
      </c>
      <c r="P14" s="9" t="s">
        <v>38</v>
      </c>
      <c r="Q14" s="15">
        <f t="shared" ref="Q14:T14" si="22">Q13/12</f>
        <v>504.9524</v>
      </c>
      <c r="R14" s="15">
        <f t="shared" si="22"/>
        <v>729.8666148</v>
      </c>
      <c r="S14" s="20">
        <f t="shared" si="22"/>
        <v>639.9009289</v>
      </c>
      <c r="T14" s="20">
        <f t="shared" si="22"/>
        <v>639.9009289</v>
      </c>
    </row>
    <row r="15">
      <c r="E15" s="38" t="s">
        <v>39</v>
      </c>
      <c r="F15" s="38" t="s">
        <v>39</v>
      </c>
      <c r="G15" s="3"/>
      <c r="H15" s="3"/>
      <c r="I15" s="9" t="s">
        <v>40</v>
      </c>
      <c r="J15" s="9">
        <v>17.75</v>
      </c>
      <c r="K15" s="9">
        <v>19.25</v>
      </c>
      <c r="L15" s="9">
        <v>19.25</v>
      </c>
      <c r="M15" s="9">
        <v>19.25</v>
      </c>
      <c r="P15" s="9" t="s">
        <v>41</v>
      </c>
      <c r="Q15" s="10"/>
      <c r="R15" s="10"/>
    </row>
    <row r="16">
      <c r="E16" s="39">
        <f>E12-C12</f>
        <v>-144.6049548</v>
      </c>
      <c r="F16" s="39">
        <f>F12-E12</f>
        <v>44.18009784</v>
      </c>
      <c r="G16" s="3"/>
      <c r="H16" s="3"/>
      <c r="I16" s="9" t="s">
        <v>42</v>
      </c>
      <c r="J16" s="9">
        <v>0.0</v>
      </c>
      <c r="K16" s="9">
        <v>7.0</v>
      </c>
      <c r="L16" s="9">
        <v>7.0</v>
      </c>
      <c r="M16" s="9">
        <v>0.0</v>
      </c>
      <c r="P16" s="10"/>
      <c r="Q16" s="9" t="s">
        <v>43</v>
      </c>
      <c r="R16" s="10"/>
    </row>
    <row r="17">
      <c r="G17" s="3"/>
      <c r="H17" s="3"/>
      <c r="I17" s="9" t="s">
        <v>44</v>
      </c>
      <c r="J17" s="9">
        <v>0.0</v>
      </c>
      <c r="K17" s="40">
        <f>K16*(J5/260)</f>
        <v>1359.487231</v>
      </c>
      <c r="L17" s="40">
        <f>L16*(J5/260)</f>
        <v>1359.487231</v>
      </c>
      <c r="M17" s="40">
        <f>M16*(J5/260)</f>
        <v>0</v>
      </c>
      <c r="P17" s="10"/>
      <c r="Q17" s="10">
        <f>20+8+9</f>
        <v>37</v>
      </c>
      <c r="R17" s="10"/>
    </row>
    <row r="18">
      <c r="G18" s="3"/>
      <c r="H18" s="3"/>
      <c r="I18" s="9" t="s">
        <v>17</v>
      </c>
      <c r="J18" s="9">
        <v>0.0</v>
      </c>
      <c r="K18" s="9">
        <v>0.0</v>
      </c>
      <c r="L18" s="9">
        <v>0.0</v>
      </c>
      <c r="M18" s="9">
        <v>0.0</v>
      </c>
      <c r="P18" s="9" t="s">
        <v>45</v>
      </c>
      <c r="Q18" s="10">
        <f>40+9+2</f>
        <v>51</v>
      </c>
      <c r="R18" s="10"/>
    </row>
    <row r="19">
      <c r="G19" s="3"/>
      <c r="H19" s="3"/>
      <c r="I19" s="9" t="s">
        <v>46</v>
      </c>
      <c r="J19" s="9">
        <v>5.92</v>
      </c>
      <c r="K19" s="41">
        <v>5.92</v>
      </c>
      <c r="L19" s="41">
        <v>5.92</v>
      </c>
      <c r="M19" s="41">
        <v>5.92</v>
      </c>
      <c r="P19" s="9" t="s">
        <v>47</v>
      </c>
      <c r="R19" s="10"/>
    </row>
    <row r="20">
      <c r="G20" s="3"/>
      <c r="H20" s="3"/>
      <c r="I20" s="9" t="s">
        <v>48</v>
      </c>
      <c r="J20" s="42">
        <f t="shared" ref="J20:M20" si="23">SUM(J13:J15,J17,J18,J19)</f>
        <v>168.77</v>
      </c>
      <c r="K20" s="42">
        <f t="shared" si="23"/>
        <v>1735.357231</v>
      </c>
      <c r="L20" s="42">
        <f t="shared" si="23"/>
        <v>1735.357231</v>
      </c>
      <c r="M20" s="42">
        <f t="shared" si="23"/>
        <v>375.87</v>
      </c>
    </row>
    <row r="21">
      <c r="I21" s="9" t="s">
        <v>49</v>
      </c>
      <c r="J21" s="42">
        <f t="shared" ref="J21:M21" si="24">J12-J20</f>
        <v>9406.23</v>
      </c>
      <c r="K21" s="42">
        <f t="shared" si="24"/>
        <v>8438.642769</v>
      </c>
      <c r="L21" s="42">
        <f t="shared" si="24"/>
        <v>8438.642769</v>
      </c>
      <c r="M21" s="42">
        <f t="shared" si="24"/>
        <v>9798.13</v>
      </c>
      <c r="N21" s="3"/>
    </row>
    <row r="22">
      <c r="A22" s="43" t="s">
        <v>50</v>
      </c>
      <c r="B22" s="44"/>
      <c r="C22" s="44"/>
      <c r="D22" s="44"/>
      <c r="E22" s="44"/>
      <c r="G22" s="3"/>
      <c r="H22" s="3"/>
      <c r="I22" s="9" t="s">
        <v>51</v>
      </c>
      <c r="J22" s="45">
        <f>(J12-J20)*0.88</f>
        <v>8277.4824</v>
      </c>
      <c r="K22" s="45">
        <f t="shared" ref="K22:M22" si="25">K21*0.88</f>
        <v>7426.005637</v>
      </c>
      <c r="L22" s="45">
        <f t="shared" si="25"/>
        <v>7426.005637</v>
      </c>
      <c r="M22" s="45">
        <f t="shared" si="25"/>
        <v>8622.3544</v>
      </c>
    </row>
    <row r="23">
      <c r="A23" s="46" t="s">
        <v>52</v>
      </c>
      <c r="B23" s="47">
        <v>397.0</v>
      </c>
      <c r="C23" s="48" t="s">
        <v>53</v>
      </c>
      <c r="D23" s="49">
        <v>118.0</v>
      </c>
      <c r="E23" s="44" t="s">
        <v>54</v>
      </c>
      <c r="L23" s="3" t="s">
        <v>55</v>
      </c>
    </row>
    <row r="24">
      <c r="A24" s="50" t="s">
        <v>56</v>
      </c>
      <c r="B24" s="51">
        <f>IFERROR(__xludf.DUMMYFUNCTION("GOOGLEFINANCE(""NYSE:ORCL"")"),171.83)</f>
        <v>171.83</v>
      </c>
      <c r="C24" s="52" t="s">
        <v>57</v>
      </c>
      <c r="D24" s="53">
        <f>D23*B24</f>
        <v>20275.94</v>
      </c>
      <c r="E24" s="44"/>
      <c r="K24" s="9" t="s">
        <v>58</v>
      </c>
      <c r="L24" s="9" t="s">
        <v>59</v>
      </c>
      <c r="M24" s="9"/>
      <c r="N24" s="9" t="s">
        <v>60</v>
      </c>
      <c r="O24" s="9" t="s">
        <v>61</v>
      </c>
    </row>
    <row r="25">
      <c r="A25" s="54" t="s">
        <v>62</v>
      </c>
      <c r="B25" s="55">
        <f>MULTIPLY(B23, B24)</f>
        <v>68216.51</v>
      </c>
      <c r="C25" s="56" t="s">
        <v>12</v>
      </c>
      <c r="D25" s="57">
        <f>IFERROR(__xludf.DUMMYFUNCTION("ROUND(D24*0.45*GOOGLEFINANCE(""CURRENCY:USDGBP""), 2)"),6707.72)</f>
        <v>6707.72</v>
      </c>
      <c r="E25" s="44"/>
      <c r="K25" s="9" t="s">
        <v>63</v>
      </c>
      <c r="L25" s="58">
        <v>12330.0</v>
      </c>
      <c r="M25" s="29"/>
      <c r="N25" s="29">
        <v>0.0</v>
      </c>
      <c r="O25" s="59">
        <f t="shared" ref="O25:O27" si="26">L25/12</f>
        <v>1027.5</v>
      </c>
    </row>
    <row r="26">
      <c r="K26" s="9" t="s">
        <v>64</v>
      </c>
      <c r="L26" s="58">
        <v>50270.0</v>
      </c>
      <c r="M26" s="29"/>
      <c r="N26" s="29">
        <v>0.2</v>
      </c>
      <c r="O26" s="59">
        <f t="shared" si="26"/>
        <v>4189.166667</v>
      </c>
    </row>
    <row r="27">
      <c r="A27" s="9" t="s">
        <v>65</v>
      </c>
      <c r="B27" s="9" t="s">
        <v>66</v>
      </c>
      <c r="C27" s="9" t="s">
        <v>67</v>
      </c>
      <c r="D27" s="9" t="s">
        <v>68</v>
      </c>
      <c r="E27" s="9" t="s">
        <v>69</v>
      </c>
      <c r="F27" s="9" t="s">
        <v>70</v>
      </c>
      <c r="G27" s="9"/>
      <c r="H27" s="9"/>
      <c r="I27" s="9" t="s">
        <v>71</v>
      </c>
      <c r="K27" s="9" t="s">
        <v>72</v>
      </c>
      <c r="L27" s="60">
        <v>125140.0</v>
      </c>
      <c r="M27" s="29"/>
      <c r="N27" s="29">
        <v>0.4</v>
      </c>
      <c r="O27" s="61">
        <f t="shared" si="26"/>
        <v>10428.33333</v>
      </c>
    </row>
    <row r="28">
      <c r="A28" s="35" t="s">
        <v>73</v>
      </c>
      <c r="B28" s="35" t="s">
        <v>74</v>
      </c>
      <c r="C28" s="35">
        <v>44.0</v>
      </c>
      <c r="D28" s="62">
        <f>B24*C28</f>
        <v>7560.52</v>
      </c>
      <c r="E28" s="62">
        <f>D28*0.44</f>
        <v>3326.6288</v>
      </c>
      <c r="F28" s="12">
        <f>IFERROR(__xludf.DUMMYFUNCTION("(E28)*GOOGLEFINANCE(""Currency:USDGBP"")"),2445.6011019792004)</f>
        <v>2445.601102</v>
      </c>
      <c r="G28" s="63"/>
      <c r="H28" s="63"/>
      <c r="I28" s="63">
        <f>ROUNDUP(C28*0.56,0)</f>
        <v>25</v>
      </c>
      <c r="K28" s="10"/>
      <c r="L28" s="10"/>
      <c r="M28" s="10"/>
      <c r="N28" s="10"/>
      <c r="O28" s="10"/>
    </row>
    <row r="29">
      <c r="A29" s="9" t="s">
        <v>74</v>
      </c>
      <c r="B29" s="9" t="s">
        <v>75</v>
      </c>
      <c r="C29" s="9">
        <v>74.0</v>
      </c>
      <c r="D29" s="64">
        <f>B24*C29</f>
        <v>12715.42</v>
      </c>
      <c r="E29" s="64">
        <f>D29*0.45</f>
        <v>5721.939</v>
      </c>
      <c r="F29" s="15">
        <f>IFERROR(__xludf.DUMMYFUNCTION("(E29-28.08)*GOOGLEFINANCE(""Currency:USDGBP"")"),4185.891688581)</f>
        <v>4185.891689</v>
      </c>
      <c r="G29" s="10"/>
      <c r="H29" s="10"/>
      <c r="I29" s="10"/>
      <c r="K29" s="9" t="s">
        <v>76</v>
      </c>
      <c r="L29" s="9">
        <v>533.0</v>
      </c>
      <c r="M29" s="9"/>
      <c r="N29" s="9">
        <v>1048.01</v>
      </c>
      <c r="O29" s="9">
        <v>4189.0</v>
      </c>
    </row>
    <row r="30">
      <c r="A30" s="10"/>
      <c r="B30" s="10"/>
      <c r="C30" s="10"/>
      <c r="D30" s="10"/>
      <c r="E30" s="10"/>
      <c r="F30" s="15">
        <f>SUM(F28:F29)</f>
        <v>6631.492791</v>
      </c>
      <c r="G30" s="10"/>
      <c r="H30" s="10"/>
      <c r="I30" s="10"/>
      <c r="K30" s="9" t="s">
        <v>77</v>
      </c>
      <c r="L30" s="9" t="s">
        <v>78</v>
      </c>
      <c r="M30" s="9"/>
      <c r="N30" s="9" t="s">
        <v>79</v>
      </c>
      <c r="O30" s="9" t="s">
        <v>80</v>
      </c>
    </row>
    <row r="31">
      <c r="D31" s="65"/>
      <c r="E31" s="65"/>
      <c r="F31" s="20"/>
      <c r="K31" s="9" t="s">
        <v>81</v>
      </c>
      <c r="L31" s="29">
        <v>0.0</v>
      </c>
      <c r="M31" s="29"/>
      <c r="N31" s="29">
        <v>0.08</v>
      </c>
      <c r="O31" s="29">
        <v>0.02</v>
      </c>
    </row>
    <row r="32">
      <c r="K32" s="10"/>
      <c r="L32" s="10"/>
      <c r="M32" s="10"/>
      <c r="N32" s="10"/>
      <c r="O32" s="10"/>
    </row>
    <row r="33">
      <c r="K33" s="9" t="s">
        <v>25</v>
      </c>
      <c r="L33" s="29">
        <v>0.09</v>
      </c>
      <c r="M33" s="10"/>
      <c r="N33" s="10"/>
      <c r="O33" s="10"/>
    </row>
    <row r="34">
      <c r="K34" s="9" t="s">
        <v>82</v>
      </c>
      <c r="L34" s="58">
        <v>27295.0</v>
      </c>
      <c r="M34" s="58"/>
      <c r="N34" s="58">
        <v>2274.0</v>
      </c>
      <c r="O34" s="58">
        <v>524.0</v>
      </c>
    </row>
    <row r="36">
      <c r="K36" s="3" t="s">
        <v>17</v>
      </c>
      <c r="O36" s="3" t="s">
        <v>83</v>
      </c>
    </row>
    <row r="37">
      <c r="K37" s="3">
        <v>2023.0</v>
      </c>
      <c r="L37" s="4">
        <v>16835.98</v>
      </c>
      <c r="O37" s="66">
        <v>1.05</v>
      </c>
    </row>
    <row r="38">
      <c r="K38" s="3">
        <v>2024.0</v>
      </c>
      <c r="L38" s="20">
        <f>20927.19+(500*7)</f>
        <v>24427.19</v>
      </c>
    </row>
    <row r="39">
      <c r="K39" s="3">
        <v>2025.0</v>
      </c>
      <c r="L39" s="20">
        <f>(L38+R13)*O37</f>
        <v>34844.86885</v>
      </c>
    </row>
    <row r="40">
      <c r="K40" s="3">
        <v>2030.0</v>
      </c>
      <c r="L40" s="20">
        <f>L39+(K40-K39)*R13</f>
        <v>78636.86574</v>
      </c>
    </row>
    <row r="41">
      <c r="K41" s="3">
        <v>2040.0</v>
      </c>
      <c r="L41" s="20">
        <f t="shared" ref="L41:L43" si="27">L39+(K41-K40)*$R$13</f>
        <v>122428.8626</v>
      </c>
    </row>
    <row r="42">
      <c r="K42" s="3">
        <v>2050.0</v>
      </c>
      <c r="L42" s="20">
        <f t="shared" si="27"/>
        <v>166220.8595</v>
      </c>
    </row>
    <row r="43">
      <c r="K43" s="3">
        <v>2060.0</v>
      </c>
      <c r="L43" s="20">
        <f t="shared" si="27"/>
        <v>210012.8564</v>
      </c>
    </row>
  </sheetData>
  <conditionalFormatting sqref="E16:F16">
    <cfRule type="cellIs" dxfId="5" priority="1" operator="greaterThanOrEqual">
      <formula>0</formula>
    </cfRule>
  </conditionalFormatting>
  <conditionalFormatting sqref="E16:F16">
    <cfRule type="cellIs" dxfId="6" priority="2" operator="lessThan">
      <formula>0</formula>
    </cfRule>
  </conditionalFormatting>
  <dataValidations>
    <dataValidation type="custom" allowBlank="1" showDropDown="1" sqref="B2:D12">
      <formula1>AND(ISNUMBER(B2),(NOT(OR(NOT(ISERROR(DATEVALUE(B2))), AND(ISNUMBER(B2), LEFT(CELL("format", B2))="D")))))</formula1>
    </dataValidation>
  </dataValidations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2.0"/>
    <col customWidth="1" min="2" max="2" width="11.5"/>
    <col customWidth="1" min="3" max="3" width="12.13"/>
    <col customWidth="1" min="4" max="4" width="8.75"/>
    <col customWidth="1" min="5" max="5" width="8.13"/>
    <col customWidth="1" min="6" max="6" width="9.5"/>
    <col customWidth="1" min="7" max="7" width="12.63"/>
    <col customWidth="1" min="8" max="8" width="11.13"/>
    <col customWidth="1" min="9" max="9" width="8.5"/>
    <col customWidth="1" min="10" max="10" width="9.38"/>
    <col customWidth="1" min="11" max="11" width="12.0"/>
    <col customWidth="1" min="12" max="12" width="11.88"/>
    <col customWidth="1" min="13" max="13" width="14.25"/>
    <col customWidth="1" min="14" max="14" width="13.13"/>
    <col customWidth="1" min="15" max="15" width="13.5"/>
    <col customWidth="1" min="16" max="16" width="11.5"/>
    <col customWidth="1" min="17" max="17" width="15.38"/>
    <col customWidth="1" min="18" max="18" width="11.5"/>
  </cols>
  <sheetData>
    <row r="1" ht="22.5" customHeight="1">
      <c r="A1" s="67" t="s">
        <v>84</v>
      </c>
      <c r="B1" s="68" t="s">
        <v>85</v>
      </c>
      <c r="C1" s="68" t="s">
        <v>86</v>
      </c>
      <c r="D1" s="67" t="s">
        <v>87</v>
      </c>
      <c r="E1" s="68" t="s">
        <v>88</v>
      </c>
      <c r="F1" s="68" t="s">
        <v>89</v>
      </c>
      <c r="G1" s="68" t="s">
        <v>90</v>
      </c>
      <c r="H1" s="68" t="s">
        <v>91</v>
      </c>
      <c r="I1" s="69" t="s">
        <v>92</v>
      </c>
      <c r="J1" s="67" t="s">
        <v>93</v>
      </c>
      <c r="K1" s="68" t="s">
        <v>94</v>
      </c>
      <c r="L1" s="68" t="s">
        <v>95</v>
      </c>
      <c r="M1" s="68" t="s">
        <v>96</v>
      </c>
      <c r="N1" s="68" t="s">
        <v>97</v>
      </c>
      <c r="O1" s="70" t="s">
        <v>98</v>
      </c>
      <c r="P1" s="71" t="s">
        <v>99</v>
      </c>
      <c r="Q1" s="71" t="s">
        <v>100</v>
      </c>
      <c r="R1" s="71" t="s">
        <v>101</v>
      </c>
    </row>
    <row r="2" ht="22.5" customHeight="1">
      <c r="A2" s="72">
        <v>45550.0</v>
      </c>
      <c r="B2" s="73"/>
      <c r="C2" s="74"/>
      <c r="D2" s="75">
        <v>44.0</v>
      </c>
      <c r="E2" s="76"/>
      <c r="F2" s="76"/>
      <c r="G2" s="77"/>
      <c r="H2" s="77"/>
      <c r="I2" s="76"/>
      <c r="J2" s="76"/>
      <c r="K2" s="77"/>
      <c r="L2" s="73"/>
      <c r="M2" s="77"/>
      <c r="N2" s="78"/>
      <c r="O2" s="79"/>
      <c r="P2" s="80"/>
      <c r="Q2" s="81"/>
      <c r="R2" s="82"/>
    </row>
    <row r="3" ht="22.5" customHeight="1">
      <c r="A3" s="83">
        <v>45550.0</v>
      </c>
      <c r="B3" s="84">
        <v>45550.0</v>
      </c>
      <c r="C3" s="82">
        <v>45553.0</v>
      </c>
      <c r="D3" s="85">
        <v>11.0</v>
      </c>
      <c r="E3" s="85">
        <v>6.0</v>
      </c>
      <c r="F3" s="85">
        <v>167.8969</v>
      </c>
      <c r="G3" s="86">
        <v>-1007.35</v>
      </c>
      <c r="H3" s="86">
        <v>-998.1</v>
      </c>
      <c r="I3" s="86">
        <f t="shared" ref="I3:I6" si="1">H3-G3</f>
        <v>9.25</v>
      </c>
      <c r="J3" s="85">
        <v>5.0</v>
      </c>
      <c r="K3" s="86">
        <v>165.835</v>
      </c>
      <c r="L3" s="84">
        <v>45553.0</v>
      </c>
      <c r="M3" s="87">
        <v>829.15</v>
      </c>
      <c r="N3" s="88">
        <f t="shared" ref="N3:N6" si="2">$I$20*M3 - 6</f>
        <v>603.5570849</v>
      </c>
      <c r="O3" s="89">
        <v>614.41</v>
      </c>
      <c r="P3" s="90" t="s">
        <v>102</v>
      </c>
      <c r="Q3" s="90" t="s">
        <v>102</v>
      </c>
      <c r="R3" s="82">
        <v>45558.0</v>
      </c>
    </row>
    <row r="4" ht="22.5" customHeight="1">
      <c r="A4" s="83">
        <v>45550.0</v>
      </c>
      <c r="B4" s="84">
        <v>45552.0</v>
      </c>
      <c r="C4" s="84">
        <v>45554.0</v>
      </c>
      <c r="D4" s="85">
        <v>11.0</v>
      </c>
      <c r="E4" s="85">
        <v>7.0</v>
      </c>
      <c r="F4" s="85">
        <v>165.0537</v>
      </c>
      <c r="G4" s="86">
        <v>-1155.34</v>
      </c>
      <c r="H4" s="86">
        <v>-998.1</v>
      </c>
      <c r="I4" s="86">
        <f t="shared" si="1"/>
        <v>157.24</v>
      </c>
      <c r="J4" s="85">
        <v>4.0</v>
      </c>
      <c r="K4" s="86">
        <v>166.6856</v>
      </c>
      <c r="L4" s="84">
        <v>45554.0</v>
      </c>
      <c r="M4" s="87">
        <v>666.72</v>
      </c>
      <c r="N4" s="88">
        <f t="shared" si="2"/>
        <v>484.1452085</v>
      </c>
      <c r="O4" s="89">
        <v>491.61</v>
      </c>
      <c r="P4" s="90" t="s">
        <v>102</v>
      </c>
      <c r="Q4" s="90" t="s">
        <v>102</v>
      </c>
      <c r="R4" s="82">
        <v>45559.0</v>
      </c>
    </row>
    <row r="5" ht="22.5" customHeight="1">
      <c r="A5" s="83">
        <v>45550.0</v>
      </c>
      <c r="B5" s="84">
        <v>45553.0</v>
      </c>
      <c r="C5" s="84">
        <v>45555.0</v>
      </c>
      <c r="D5" s="85">
        <v>11.0</v>
      </c>
      <c r="E5" s="90">
        <v>7.0</v>
      </c>
      <c r="F5" s="90">
        <v>166.7304</v>
      </c>
      <c r="G5" s="91">
        <v>-1167.07</v>
      </c>
      <c r="H5" s="86">
        <v>-998.1</v>
      </c>
      <c r="I5" s="91">
        <f t="shared" si="1"/>
        <v>168.97</v>
      </c>
      <c r="J5" s="90">
        <v>4.0</v>
      </c>
      <c r="K5" s="91">
        <v>167.0848</v>
      </c>
      <c r="L5" s="82">
        <v>45555.0</v>
      </c>
      <c r="M5" s="92">
        <v>668.32</v>
      </c>
      <c r="N5" s="88">
        <f t="shared" si="2"/>
        <v>485.3214629</v>
      </c>
      <c r="O5" s="89">
        <v>492.87</v>
      </c>
      <c r="P5" s="90" t="s">
        <v>102</v>
      </c>
      <c r="Q5" s="90" t="s">
        <v>102</v>
      </c>
      <c r="R5" s="82">
        <v>45560.0</v>
      </c>
    </row>
    <row r="6" ht="22.5" customHeight="1">
      <c r="A6" s="83">
        <v>45550.0</v>
      </c>
      <c r="B6" s="84">
        <v>45554.0</v>
      </c>
      <c r="C6" s="82">
        <v>45558.0</v>
      </c>
      <c r="D6" s="85">
        <v>11.0</v>
      </c>
      <c r="E6" s="85">
        <v>6.0</v>
      </c>
      <c r="F6" s="93">
        <v>167.8317</v>
      </c>
      <c r="G6" s="94">
        <v>-1006.96</v>
      </c>
      <c r="H6" s="86">
        <v>-998.1</v>
      </c>
      <c r="I6" s="86">
        <f t="shared" si="1"/>
        <v>8.86</v>
      </c>
      <c r="J6" s="85">
        <v>5.0</v>
      </c>
      <c r="K6" s="91">
        <v>166.156</v>
      </c>
      <c r="L6" s="82">
        <v>45558.0</v>
      </c>
      <c r="M6" s="92">
        <v>830.75</v>
      </c>
      <c r="N6" s="88">
        <f t="shared" si="2"/>
        <v>604.7333393</v>
      </c>
      <c r="O6" s="89">
        <v>615.29</v>
      </c>
      <c r="P6" s="90" t="s">
        <v>102</v>
      </c>
      <c r="Q6" s="90" t="s">
        <v>102</v>
      </c>
      <c r="R6" s="82">
        <v>45561.0</v>
      </c>
    </row>
    <row r="7" ht="22.5" customHeight="1">
      <c r="A7" s="95">
        <v>45555.0</v>
      </c>
      <c r="B7" s="96"/>
      <c r="C7" s="97"/>
      <c r="D7" s="98">
        <v>74.0</v>
      </c>
      <c r="E7" s="99"/>
      <c r="F7" s="100"/>
      <c r="G7" s="101"/>
      <c r="H7" s="101"/>
      <c r="I7" s="99"/>
      <c r="J7" s="99">
        <f>SUM(J3:J6)</f>
        <v>18</v>
      </c>
      <c r="K7" s="101"/>
      <c r="L7" s="96"/>
      <c r="M7" s="101"/>
      <c r="N7" s="102">
        <f t="shared" ref="N7:O7" si="3">SUM(N3:N6)</f>
        <v>2177.757095</v>
      </c>
      <c r="O7" s="103">
        <f t="shared" si="3"/>
        <v>2214.18</v>
      </c>
      <c r="P7" s="100"/>
      <c r="Q7" s="104"/>
      <c r="R7" s="84"/>
    </row>
    <row r="8" ht="22.5" customHeight="1">
      <c r="A8" s="83">
        <v>45555.0</v>
      </c>
      <c r="B8" s="82">
        <v>45555.0</v>
      </c>
      <c r="C8" s="82">
        <v>45559.0</v>
      </c>
      <c r="D8" s="90">
        <v>12.0</v>
      </c>
      <c r="E8" s="90">
        <v>7.0</v>
      </c>
      <c r="F8" s="90">
        <v>165.5337</v>
      </c>
      <c r="G8" s="91">
        <v>-1158.7</v>
      </c>
      <c r="H8" s="91">
        <v>-1126.1</v>
      </c>
      <c r="I8" s="86">
        <f t="shared" ref="I8:I13" si="4">H8-G8</f>
        <v>32.6</v>
      </c>
      <c r="J8" s="85">
        <f t="shared" ref="J8:J13" si="5">D8-E8</f>
        <v>5</v>
      </c>
      <c r="K8" s="91">
        <v>165.89</v>
      </c>
      <c r="L8" s="82">
        <v>45559.0</v>
      </c>
      <c r="M8" s="92">
        <v>829.42</v>
      </c>
      <c r="N8" s="88">
        <f t="shared" ref="N8:N14" si="6">$I$20*M8 - 6</f>
        <v>603.7555778</v>
      </c>
      <c r="O8" s="89">
        <v>611.82</v>
      </c>
      <c r="P8" s="90" t="s">
        <v>102</v>
      </c>
      <c r="Q8" s="90" t="s">
        <v>102</v>
      </c>
      <c r="R8" s="82">
        <v>45562.0</v>
      </c>
    </row>
    <row r="9" ht="22.5" customHeight="1">
      <c r="A9" s="83">
        <v>45555.0</v>
      </c>
      <c r="B9" s="82">
        <v>45558.0</v>
      </c>
      <c r="C9" s="82">
        <v>45560.0</v>
      </c>
      <c r="D9" s="90">
        <v>12.0</v>
      </c>
      <c r="E9" s="90">
        <v>7.0</v>
      </c>
      <c r="F9" s="90">
        <v>165.2431</v>
      </c>
      <c r="G9" s="91">
        <v>-1156.66</v>
      </c>
      <c r="H9" s="91">
        <v>-1126.1</v>
      </c>
      <c r="I9" s="86">
        <f t="shared" si="4"/>
        <v>30.56</v>
      </c>
      <c r="J9" s="85">
        <f t="shared" si="5"/>
        <v>5</v>
      </c>
      <c r="K9" s="91">
        <v>167.21</v>
      </c>
      <c r="L9" s="82">
        <v>45560.0</v>
      </c>
      <c r="M9" s="92">
        <v>836.02</v>
      </c>
      <c r="N9" s="88">
        <f t="shared" si="6"/>
        <v>608.6076272</v>
      </c>
      <c r="O9" s="89">
        <v>618.22</v>
      </c>
      <c r="P9" s="90" t="s">
        <v>102</v>
      </c>
      <c r="Q9" s="90" t="s">
        <v>102</v>
      </c>
      <c r="R9" s="82">
        <v>45565.0</v>
      </c>
    </row>
    <row r="10" ht="22.5" customHeight="1">
      <c r="A10" s="83">
        <v>45555.0</v>
      </c>
      <c r="B10" s="82">
        <v>45559.0</v>
      </c>
      <c r="C10" s="82">
        <v>45561.0</v>
      </c>
      <c r="D10" s="90">
        <v>12.0</v>
      </c>
      <c r="E10" s="90">
        <v>8.0</v>
      </c>
      <c r="F10" s="90">
        <v>166.7838</v>
      </c>
      <c r="G10" s="91">
        <v>-1334.23</v>
      </c>
      <c r="H10" s="91">
        <v>-1126.1</v>
      </c>
      <c r="I10" s="86">
        <f t="shared" si="4"/>
        <v>208.13</v>
      </c>
      <c r="J10" s="85">
        <f t="shared" si="5"/>
        <v>4</v>
      </c>
      <c r="K10" s="91">
        <v>167.0</v>
      </c>
      <c r="L10" s="82">
        <v>45561.0</v>
      </c>
      <c r="M10" s="92">
        <v>667.98</v>
      </c>
      <c r="N10" s="88">
        <f t="shared" si="6"/>
        <v>485.0715088</v>
      </c>
      <c r="O10" s="89">
        <v>495.62</v>
      </c>
      <c r="P10" s="90" t="s">
        <v>102</v>
      </c>
      <c r="Q10" s="90" t="s">
        <v>102</v>
      </c>
      <c r="R10" s="82">
        <v>45566.0</v>
      </c>
    </row>
    <row r="11" ht="22.5" customHeight="1">
      <c r="A11" s="83">
        <v>45555.0</v>
      </c>
      <c r="B11" s="82">
        <v>45560.0</v>
      </c>
      <c r="C11" s="82">
        <v>45562.0</v>
      </c>
      <c r="D11" s="90">
        <v>12.0</v>
      </c>
      <c r="E11" s="90">
        <v>7.0</v>
      </c>
      <c r="F11" s="90">
        <v>167.5992</v>
      </c>
      <c r="G11" s="91">
        <v>-1173.15</v>
      </c>
      <c r="H11" s="91">
        <v>-1126.1</v>
      </c>
      <c r="I11" s="86">
        <f t="shared" si="4"/>
        <v>47.05</v>
      </c>
      <c r="J11" s="85">
        <f t="shared" si="5"/>
        <v>5</v>
      </c>
      <c r="K11" s="91">
        <v>167.97</v>
      </c>
      <c r="L11" s="82">
        <v>45562.0</v>
      </c>
      <c r="M11" s="87">
        <f>J11*$G$20</f>
        <v>859.15</v>
      </c>
      <c r="N11" s="88">
        <f t="shared" si="6"/>
        <v>625.6118549</v>
      </c>
      <c r="O11" s="89">
        <v>626.89</v>
      </c>
      <c r="P11" s="90" t="s">
        <v>102</v>
      </c>
      <c r="Q11" s="90" t="s">
        <v>102</v>
      </c>
      <c r="R11" s="82">
        <v>45567.0</v>
      </c>
    </row>
    <row r="12" ht="22.5" customHeight="1">
      <c r="A12" s="83">
        <v>45555.0</v>
      </c>
      <c r="B12" s="82">
        <v>45561.0</v>
      </c>
      <c r="C12" s="82">
        <v>45565.0</v>
      </c>
      <c r="D12" s="90">
        <v>12.0</v>
      </c>
      <c r="E12" s="90">
        <v>8.0</v>
      </c>
      <c r="F12" s="90">
        <v>167.7839</v>
      </c>
      <c r="G12" s="105">
        <v>-1342.23</v>
      </c>
      <c r="H12" s="91">
        <v>-1126.1</v>
      </c>
      <c r="I12" s="86">
        <f t="shared" si="4"/>
        <v>216.13</v>
      </c>
      <c r="J12" s="85">
        <f t="shared" si="5"/>
        <v>4</v>
      </c>
      <c r="K12" s="91">
        <v>169.18</v>
      </c>
      <c r="L12" s="82">
        <v>45565.0</v>
      </c>
      <c r="M12" s="92">
        <v>676.7</v>
      </c>
      <c r="N12" s="88">
        <f t="shared" si="6"/>
        <v>491.4820953</v>
      </c>
      <c r="O12" s="89">
        <v>509.59</v>
      </c>
      <c r="P12" s="90" t="s">
        <v>102</v>
      </c>
      <c r="Q12" s="90" t="s">
        <v>102</v>
      </c>
      <c r="R12" s="82">
        <v>45568.0</v>
      </c>
    </row>
    <row r="13" ht="22.5" customHeight="1">
      <c r="A13" s="106">
        <v>45555.0</v>
      </c>
      <c r="B13" s="82">
        <v>45562.0</v>
      </c>
      <c r="C13" s="107">
        <v>45566.0</v>
      </c>
      <c r="D13" s="90">
        <v>14.0</v>
      </c>
      <c r="E13" s="90">
        <v>8.0</v>
      </c>
      <c r="F13" s="90">
        <v>167.9394</v>
      </c>
      <c r="G13" s="91">
        <v>-1343.48</v>
      </c>
      <c r="H13" s="86">
        <f>-E13*G20</f>
        <v>-1374.64</v>
      </c>
      <c r="I13" s="86">
        <f t="shared" si="4"/>
        <v>-31.16</v>
      </c>
      <c r="J13" s="85">
        <f t="shared" si="5"/>
        <v>6</v>
      </c>
      <c r="K13" s="91">
        <v>170.33</v>
      </c>
      <c r="L13" s="82">
        <v>45566.0</v>
      </c>
      <c r="M13" s="92">
        <v>1021.95</v>
      </c>
      <c r="N13" s="88">
        <f t="shared" si="6"/>
        <v>745.2957401</v>
      </c>
      <c r="O13" s="108">
        <f t="shared" ref="O13:O14" si="7">N13</f>
        <v>745.2957401</v>
      </c>
      <c r="P13" s="90" t="s">
        <v>102</v>
      </c>
      <c r="Q13" s="90" t="s">
        <v>102</v>
      </c>
      <c r="R13" s="82">
        <v>45569.0</v>
      </c>
    </row>
    <row r="14" ht="22.5" customHeight="1">
      <c r="A14" s="106"/>
      <c r="B14" s="82"/>
      <c r="C14" s="107"/>
      <c r="D14" s="90"/>
      <c r="E14" s="90"/>
      <c r="F14" s="90"/>
      <c r="G14" s="91"/>
      <c r="H14" s="86"/>
      <c r="I14" s="85"/>
      <c r="J14" s="90" t="s">
        <v>103</v>
      </c>
      <c r="K14" s="91"/>
      <c r="L14" s="82">
        <v>45568.0</v>
      </c>
      <c r="M14" s="92">
        <v>912.5</v>
      </c>
      <c r="N14" s="88">
        <f t="shared" si="6"/>
        <v>664.8325875</v>
      </c>
      <c r="O14" s="108">
        <f t="shared" si="7"/>
        <v>664.8325875</v>
      </c>
      <c r="P14" s="90" t="s">
        <v>102</v>
      </c>
      <c r="Q14" s="90" t="s">
        <v>102</v>
      </c>
      <c r="R14" s="82">
        <v>45573.0</v>
      </c>
    </row>
    <row r="15" ht="22.5" customHeight="1">
      <c r="A15" s="109"/>
      <c r="B15" s="110"/>
      <c r="C15" s="110"/>
      <c r="D15" s="111"/>
      <c r="E15" s="111"/>
      <c r="F15" s="111"/>
      <c r="G15" s="111"/>
      <c r="H15" s="111"/>
      <c r="I15" s="111"/>
      <c r="J15" s="111">
        <f>SUM(J8:J13)</f>
        <v>29</v>
      </c>
      <c r="K15" s="111"/>
      <c r="L15" s="111"/>
      <c r="M15" s="112"/>
      <c r="N15" s="113">
        <f t="shared" ref="N15:O15" si="8">SUM(N8:N13)</f>
        <v>3559.824404</v>
      </c>
      <c r="O15" s="114">
        <f t="shared" si="8"/>
        <v>3607.43574</v>
      </c>
      <c r="P15" s="110"/>
      <c r="Q15" s="115"/>
      <c r="R15" s="84"/>
    </row>
    <row r="16" ht="22.5" customHeight="1">
      <c r="A16" s="109" t="s">
        <v>104</v>
      </c>
      <c r="B16" s="110"/>
      <c r="C16" s="110"/>
      <c r="D16" s="111">
        <f>SUM(D3:D6,D8:D13)</f>
        <v>118</v>
      </c>
      <c r="E16" s="111">
        <f>SUM(E3:E13)</f>
        <v>71</v>
      </c>
      <c r="F16" s="111"/>
      <c r="G16" s="111"/>
      <c r="H16" s="111"/>
      <c r="I16" s="112">
        <f>SUM(I3:I11)</f>
        <v>662.66</v>
      </c>
      <c r="J16" s="111">
        <f>SUM(J3:J13)</f>
        <v>65</v>
      </c>
      <c r="K16" s="111" t="str">
        <f>CONCATENATE("avg:", ROUND(AVERAGE(K3:K11),4))</f>
        <v>avg:166.7289</v>
      </c>
      <c r="L16" s="111"/>
      <c r="M16" s="112">
        <f>SUM(M3:M14)</f>
        <v>8798.66</v>
      </c>
      <c r="N16" s="113">
        <f>$I$20*M16 - 6</f>
        <v>6462.414087</v>
      </c>
      <c r="O16" s="116">
        <f>SUM(O3:O6,O8:O14)</f>
        <v>6486.448328</v>
      </c>
      <c r="P16" s="110"/>
      <c r="Q16" s="115"/>
      <c r="R16" s="84"/>
    </row>
    <row r="17">
      <c r="A17" s="117"/>
      <c r="L17" s="118"/>
    </row>
    <row r="18">
      <c r="A18" s="119"/>
      <c r="K18" s="3" t="s">
        <v>105</v>
      </c>
      <c r="L18" s="120">
        <f>G20/AVERAGE(K3:K13)-1</f>
        <v>0.02686755972</v>
      </c>
      <c r="N18" s="20"/>
      <c r="O18" s="34" t="s">
        <v>100</v>
      </c>
      <c r="P18" s="121">
        <f>O16/N16</f>
        <v>1.003719081</v>
      </c>
    </row>
    <row r="19">
      <c r="A19" s="122"/>
      <c r="G19" s="3" t="s">
        <v>106</v>
      </c>
      <c r="H19" s="3" t="s">
        <v>107</v>
      </c>
      <c r="I19" s="3" t="s">
        <v>108</v>
      </c>
      <c r="K19" s="3" t="s">
        <v>109</v>
      </c>
      <c r="O19" s="3" t="s">
        <v>110</v>
      </c>
      <c r="P19" s="20">
        <f>N16-O16</f>
        <v>-24.03424061</v>
      </c>
    </row>
    <row r="20">
      <c r="A20" s="123"/>
      <c r="G20" s="65">
        <f>IFERROR(__xludf.DUMMYFUNCTION("GOOGLEFINANCE(""NYSE:ORCL"")"),171.83)</f>
        <v>171.83</v>
      </c>
      <c r="H20" s="124">
        <v>166.35</v>
      </c>
      <c r="I20" s="125">
        <f>IFERROR(__xludf.DUMMYFUNCTION("GOOGLEFINANCE(""CURRENCY:USDGBP"")"),0.735159)</f>
        <v>0.735159</v>
      </c>
      <c r="K20" s="4">
        <f>G20/AVERAGE(K3:K13)*O16</f>
        <v>6660.723365</v>
      </c>
    </row>
    <row r="21">
      <c r="A21" s="126"/>
      <c r="G21" s="3">
        <v>310.0</v>
      </c>
      <c r="K21" s="125">
        <f>G21/AVERAGE(K3:K13)*O16</f>
        <v>12016.66905</v>
      </c>
    </row>
    <row r="22">
      <c r="A22" s="122"/>
    </row>
    <row r="23">
      <c r="A23" s="127"/>
    </row>
    <row r="24">
      <c r="A24" s="127"/>
      <c r="K24" s="3">
        <f>5*G21*I20</f>
        <v>1139.49645</v>
      </c>
    </row>
    <row r="25">
      <c r="A25" s="128"/>
    </row>
    <row r="26">
      <c r="A26" s="128"/>
    </row>
    <row r="27">
      <c r="A27" s="129"/>
    </row>
    <row r="28">
      <c r="A28" s="126"/>
    </row>
    <row r="29">
      <c r="A29" s="122"/>
    </row>
    <row r="30">
      <c r="A30" s="123"/>
    </row>
    <row r="31">
      <c r="A31" s="126"/>
    </row>
    <row r="32">
      <c r="A32" s="122"/>
    </row>
    <row r="33">
      <c r="A33" s="127"/>
    </row>
    <row r="34">
      <c r="A34" s="127"/>
    </row>
    <row r="35">
      <c r="A35" s="128"/>
    </row>
    <row r="36">
      <c r="A36" s="128"/>
    </row>
    <row r="37">
      <c r="A37" s="130"/>
    </row>
    <row r="38">
      <c r="A38" s="131"/>
    </row>
    <row r="39">
      <c r="A39" s="132"/>
    </row>
    <row r="40">
      <c r="A40" s="130"/>
    </row>
    <row r="41">
      <c r="A41" s="127"/>
    </row>
    <row r="42">
      <c r="A42" s="127"/>
    </row>
    <row r="43">
      <c r="A43" s="128"/>
    </row>
    <row r="44">
      <c r="A44" s="128"/>
    </row>
    <row r="45">
      <c r="A45" s="130"/>
    </row>
    <row r="46">
      <c r="A46" s="131"/>
    </row>
    <row r="47">
      <c r="A47" s="132"/>
    </row>
    <row r="48">
      <c r="A48" s="130"/>
    </row>
    <row r="49">
      <c r="A49" s="127"/>
    </row>
    <row r="50">
      <c r="A50" s="127"/>
    </row>
    <row r="51">
      <c r="A51" s="128"/>
    </row>
    <row r="52">
      <c r="A52" s="128"/>
    </row>
    <row r="53">
      <c r="A53" s="130"/>
    </row>
  </sheetData>
  <conditionalFormatting sqref="O2:Q14">
    <cfRule type="cellIs" dxfId="5" priority="1" operator="equal">
      <formula>"Yes"</formula>
    </cfRule>
  </conditionalFormatting>
  <conditionalFormatting sqref="O2:Q14">
    <cfRule type="cellIs" dxfId="7" priority="2" operator="equal">
      <formula>"No"</formula>
    </cfRule>
  </conditionalFormatting>
  <dataValidations>
    <dataValidation type="custom" allowBlank="1" showDropDown="1" sqref="R2:R16">
      <formula1>OR(NOT(ISERROR(DATEVALUE(R2))), AND(ISNUMBER(R2), LEFT(CELL("format", R2))="D"))</formula1>
    </dataValidation>
    <dataValidation type="custom" allowBlank="1" showDropDown="1" sqref="M2:O16">
      <formula1>AND(ISNUMBER(M2),(NOT(OR(NOT(ISERROR(DATEVALUE(M2))), AND(ISNUMBER(M2), LEFT(CELL("format", M2))="D")))))</formula1>
    </dataValidation>
  </dataValidations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2">
      <c r="B2" s="3" t="s">
        <v>111</v>
      </c>
      <c r="C2" s="3" t="s">
        <v>112</v>
      </c>
      <c r="D2" s="3" t="s">
        <v>103</v>
      </c>
      <c r="F2" s="133"/>
      <c r="G2" s="133"/>
    </row>
    <row r="3">
      <c r="A3" s="3" t="s">
        <v>84</v>
      </c>
      <c r="B3" s="133">
        <v>45915.0</v>
      </c>
      <c r="C3" s="133">
        <v>45920.0</v>
      </c>
    </row>
    <row r="4">
      <c r="A4" s="3" t="s">
        <v>113</v>
      </c>
      <c r="B4" s="133">
        <v>45917.0</v>
      </c>
      <c r="C4" s="133">
        <v>45923.0</v>
      </c>
    </row>
    <row r="5">
      <c r="A5" s="3" t="s">
        <v>114</v>
      </c>
      <c r="B5" s="124">
        <v>12855.92</v>
      </c>
      <c r="C5" s="65">
        <f>C6*B19</f>
        <v>12543.59</v>
      </c>
      <c r="E5" s="65">
        <f>SUM(B5:D5)</f>
        <v>25399.51</v>
      </c>
      <c r="F5" s="20">
        <f>E5*B18</f>
        <v>18672.67837</v>
      </c>
    </row>
    <row r="6">
      <c r="A6" s="3" t="s">
        <v>115</v>
      </c>
      <c r="B6" s="3">
        <v>44.0</v>
      </c>
      <c r="C6" s="3">
        <v>73.0</v>
      </c>
    </row>
    <row r="7">
      <c r="A7" s="3" t="s">
        <v>116</v>
      </c>
      <c r="B7" s="124">
        <v>292.18</v>
      </c>
      <c r="C7" s="124">
        <v>308.66</v>
      </c>
    </row>
    <row r="8">
      <c r="A8" s="3" t="s">
        <v>88</v>
      </c>
      <c r="B8" s="124">
        <v>-7327.87</v>
      </c>
      <c r="C8" s="124">
        <v>-12843.34</v>
      </c>
    </row>
    <row r="9">
      <c r="A9" s="3" t="s">
        <v>117</v>
      </c>
      <c r="B9" s="3">
        <v>20.0</v>
      </c>
      <c r="C9" s="3">
        <v>30.0</v>
      </c>
    </row>
    <row r="10">
      <c r="A10" s="3" t="s">
        <v>118</v>
      </c>
      <c r="B10" s="124">
        <v>307.8326</v>
      </c>
      <c r="C10" s="124">
        <v>295.9615</v>
      </c>
    </row>
    <row r="11">
      <c r="A11" s="3" t="s">
        <v>119</v>
      </c>
      <c r="B11" s="124">
        <v>6156.65</v>
      </c>
      <c r="C11" s="65">
        <f>C9*C10</f>
        <v>8878.845</v>
      </c>
      <c r="D11" s="3">
        <v>341.88</v>
      </c>
    </row>
    <row r="12">
      <c r="A12" s="3" t="s">
        <v>120</v>
      </c>
      <c r="B12" s="134">
        <f>B11*B18</f>
        <v>4526.116657</v>
      </c>
      <c r="C12" s="134">
        <f>C11*B18</f>
        <v>6527.362811</v>
      </c>
      <c r="D12" s="135">
        <f>D11*B18</f>
        <v>251.3361589</v>
      </c>
      <c r="E12" s="134">
        <f>B12+C12+D12</f>
        <v>11304.81563</v>
      </c>
    </row>
    <row r="13">
      <c r="A13" s="3" t="s">
        <v>121</v>
      </c>
      <c r="B13" s="133">
        <v>45917.0</v>
      </c>
      <c r="C13" s="133">
        <v>45925.0</v>
      </c>
    </row>
    <row r="14">
      <c r="A14" s="3" t="s">
        <v>122</v>
      </c>
      <c r="B14" s="133">
        <v>45922.0</v>
      </c>
      <c r="C14" s="3" t="s">
        <v>123</v>
      </c>
    </row>
    <row r="15">
      <c r="A15" s="3" t="s">
        <v>124</v>
      </c>
      <c r="B15" s="136">
        <v>4542.31</v>
      </c>
      <c r="C15" s="137">
        <f>C12-30</f>
        <v>6497.362811</v>
      </c>
      <c r="E15" s="138">
        <f>SUM(B15:C15)</f>
        <v>11039.67281</v>
      </c>
    </row>
    <row r="18">
      <c r="A18" s="3" t="s">
        <v>125</v>
      </c>
      <c r="B18" s="125">
        <f>IFERROR(__xludf.DUMMYFUNCTION("GOOGLEFINANCE(""USDGBP"")"),0.735159)</f>
        <v>0.735159</v>
      </c>
    </row>
    <row r="19">
      <c r="A19" s="3" t="s">
        <v>126</v>
      </c>
      <c r="B19" s="125">
        <f>IFERROR(__xludf.DUMMYFUNCTION("GOOGLEFINANCE(""ORCL"")"),171.83)</f>
        <v>171.83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2">
      <c r="B2" s="3" t="s">
        <v>111</v>
      </c>
      <c r="C2" s="3" t="s">
        <v>112</v>
      </c>
      <c r="E2" s="3" t="s">
        <v>103</v>
      </c>
      <c r="G2" s="133"/>
    </row>
    <row r="3">
      <c r="A3" s="3" t="s">
        <v>84</v>
      </c>
      <c r="B3" s="133">
        <v>45915.0</v>
      </c>
      <c r="C3" s="133">
        <v>45920.0</v>
      </c>
    </row>
    <row r="4">
      <c r="A4" s="3" t="s">
        <v>113</v>
      </c>
      <c r="B4" s="133">
        <v>45917.0</v>
      </c>
      <c r="C4" s="133">
        <v>45923.0</v>
      </c>
    </row>
    <row r="5">
      <c r="A5" s="3" t="s">
        <v>114</v>
      </c>
      <c r="B5" s="124">
        <v>12855.92</v>
      </c>
      <c r="C5" s="65">
        <f>C6*B19</f>
        <v>12543.59</v>
      </c>
      <c r="F5" s="65">
        <f>SUM(B5:E5)</f>
        <v>25399.51</v>
      </c>
      <c r="G5" s="20">
        <f>F5*B18</f>
        <v>18672.67837</v>
      </c>
    </row>
    <row r="6">
      <c r="A6" s="3" t="s">
        <v>115</v>
      </c>
      <c r="B6" s="3">
        <v>44.0</v>
      </c>
      <c r="C6" s="3">
        <v>73.0</v>
      </c>
    </row>
    <row r="7">
      <c r="A7" s="3" t="s">
        <v>116</v>
      </c>
      <c r="B7" s="124">
        <v>292.18</v>
      </c>
      <c r="C7" s="124">
        <v>308.66</v>
      </c>
    </row>
    <row r="8">
      <c r="A8" s="3" t="s">
        <v>88</v>
      </c>
      <c r="B8" s="124">
        <v>-7327.87</v>
      </c>
      <c r="C8" s="124">
        <v>-12843.34</v>
      </c>
    </row>
    <row r="9">
      <c r="A9" s="3" t="s">
        <v>117</v>
      </c>
      <c r="B9" s="3">
        <v>20.0</v>
      </c>
      <c r="C9" s="3">
        <v>30.0</v>
      </c>
    </row>
    <row r="10">
      <c r="A10" s="3" t="s">
        <v>118</v>
      </c>
      <c r="B10" s="124">
        <v>307.8326</v>
      </c>
      <c r="C10" s="124">
        <v>295.9615</v>
      </c>
    </row>
    <row r="11">
      <c r="A11" s="3" t="s">
        <v>119</v>
      </c>
      <c r="B11" s="124">
        <v>6156.65</v>
      </c>
      <c r="C11" s="65">
        <f>C9*C10</f>
        <v>8878.845</v>
      </c>
      <c r="E11" s="3">
        <v>341.88</v>
      </c>
    </row>
    <row r="12">
      <c r="A12" s="3" t="s">
        <v>120</v>
      </c>
      <c r="B12" s="134">
        <f>B11*B18</f>
        <v>4526.116657</v>
      </c>
      <c r="C12" s="134">
        <f>C11*B18</f>
        <v>6527.362811</v>
      </c>
      <c r="E12" s="135">
        <f>E11*B18</f>
        <v>251.3361589</v>
      </c>
      <c r="F12" s="134">
        <f>B12+C12+E12</f>
        <v>11304.81563</v>
      </c>
    </row>
    <row r="13">
      <c r="A13" s="3" t="s">
        <v>121</v>
      </c>
      <c r="B13" s="133">
        <v>45917.0</v>
      </c>
      <c r="C13" s="133">
        <v>45925.0</v>
      </c>
    </row>
    <row r="14">
      <c r="A14" s="3" t="s">
        <v>122</v>
      </c>
      <c r="B14" s="133">
        <v>45922.0</v>
      </c>
      <c r="C14" s="3" t="s">
        <v>123</v>
      </c>
    </row>
    <row r="15">
      <c r="A15" s="3" t="s">
        <v>124</v>
      </c>
      <c r="B15" s="136">
        <v>4542.31</v>
      </c>
      <c r="C15" s="137">
        <f>C12-30</f>
        <v>6497.362811</v>
      </c>
      <c r="F15" s="138">
        <f>SUM(B15:C15)</f>
        <v>11039.67281</v>
      </c>
    </row>
    <row r="18">
      <c r="A18" s="3" t="s">
        <v>125</v>
      </c>
      <c r="B18" s="125">
        <f>IFERROR(__xludf.DUMMYFUNCTION("GOOGLEFINANCE(""USDGBP"")"),0.735159)</f>
        <v>0.735159</v>
      </c>
    </row>
    <row r="19">
      <c r="A19" s="3" t="s">
        <v>126</v>
      </c>
      <c r="B19" s="125">
        <f>IFERROR(__xludf.DUMMYFUNCTION("GOOGLEFINANCE(""ORCL"")"),171.83)</f>
        <v>171.83</v>
      </c>
    </row>
  </sheetData>
  <drawing r:id="rId1"/>
</worksheet>
</file>