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<sst xmlns="http://schemas.openxmlformats.org/spreadsheetml/2006/main" count="98" uniqueCount="53">
  <si>
    <t>current</t>
  </si>
  <si>
    <t>request</t>
  </si>
  <si>
    <t>offer</t>
  </si>
  <si>
    <t>hourly</t>
  </si>
  <si>
    <t>hours</t>
  </si>
  <si>
    <t>weekly</t>
  </si>
  <si>
    <t>monthly</t>
  </si>
  <si>
    <t>funding</t>
  </si>
  <si>
    <t>Option A</t>
  </si>
  <si>
    <t>Option B</t>
  </si>
  <si>
    <t>Diff</t>
  </si>
  <si>
    <t>Nursery days</t>
  </si>
  <si>
    <t>weeks</t>
  </si>
  <si>
    <t>Excess hours</t>
  </si>
  <si>
    <t>stretch</t>
  </si>
  <si>
    <t>Weekly excess cost</t>
  </si>
  <si>
    <t>Per diem</t>
  </si>
  <si>
    <t>Weekly cost</t>
  </si>
  <si>
    <t>nursery</t>
  </si>
  <si>
    <t>per diem</t>
  </si>
  <si>
    <t>days/week</t>
  </si>
  <si>
    <t>hours/week</t>
  </si>
  <si>
    <t>Day</t>
  </si>
  <si>
    <t>Nursery Drop-off</t>
  </si>
  <si>
    <t>Work Start</t>
  </si>
  <si>
    <t>Work Finish</t>
  </si>
  <si>
    <t>Nursery Pick-up</t>
  </si>
  <si>
    <t>Work Hours</t>
  </si>
  <si>
    <t>Nursery Hours</t>
  </si>
  <si>
    <t xml:space="preserve">Wednesday </t>
  </si>
  <si>
    <t>Wednesday</t>
  </si>
  <si>
    <t>Thursday</t>
  </si>
  <si>
    <t>Total</t>
  </si>
  <si>
    <t>19.5 hrs</t>
  </si>
  <si>
    <t>Their Counter-Offer</t>
  </si>
  <si>
    <t xml:space="preserve">Thursday </t>
  </si>
  <si>
    <t>Friday</t>
  </si>
  <si>
    <t>22.5 hrs</t>
  </si>
  <si>
    <t>Proposal</t>
  </si>
  <si>
    <t>Gross Income</t>
  </si>
  <si>
    <t>Yearly</t>
  </si>
  <si>
    <t>Monthly</t>
  </si>
  <si>
    <t>Weekly</t>
  </si>
  <si>
    <t>Daily</t>
  </si>
  <si>
    <t>net hourly.</t>
  </si>
  <si>
    <t>Pension Deductions</t>
  </si>
  <si>
    <t>Taxable Income</t>
  </si>
  <si>
    <t>TaxBREAKDOWN</t>
  </si>
  <si>
    <t>National Insurance</t>
  </si>
  <si>
    <t>Student Loan</t>
  </si>
  <si>
    <t>2026 Take Home</t>
  </si>
  <si>
    <t>net hourly</t>
  </si>
  <si>
    <t>Net hourly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</si>
</sst>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£&quot;#,##0.00"/>
    <numFmt numFmtId="165" formatCode="hh:mm"/>
    <numFmt numFmtId="166" formatCode="[$£-809]#,##0.0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rgb="FF484848"/>
      <name val="&quot;Open Sans&quot;"/>
    </font>
    <font>
      <b/>
      <sz val="11.0"/>
      <color theme="1"/>
      <name val="&quot;Open Sans&quot;"/>
    </font>
    <font>
      <sz val="11.0"/>
      <color rgb="FF484848"/>
      <name val="&quot;Open Sans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3" numFmtId="0" xfId="0" applyAlignment="1" applyFont="1">
      <alignment horizontal="left" readingOrder="0" shrinkToFit="0" vertical="top" wrapText="0"/>
    </xf>
    <xf borderId="0" fillId="0" fontId="4" numFmtId="0" xfId="0" applyAlignment="1" applyFont="1">
      <alignment horizontal="left" readingOrder="0" shrinkToFit="0" vertical="top" wrapText="0"/>
    </xf>
    <xf borderId="0" fillId="0" fontId="3" numFmtId="0" xfId="0" applyAlignment="1" applyFont="1">
      <alignment horizontal="left" shrinkToFit="0" vertical="top" wrapText="0"/>
    </xf>
    <xf borderId="0" fillId="0" fontId="3" numFmtId="164" xfId="0" applyAlignment="1" applyFont="1" applyNumberFormat="1">
      <alignment horizontal="right" readingOrder="0" shrinkToFit="0" vertical="top" wrapText="0"/>
    </xf>
    <xf borderId="0" fillId="0" fontId="5" numFmtId="164" xfId="0" applyAlignment="1" applyFont="1" applyNumberFormat="1">
      <alignment horizontal="right" readingOrder="0" shrinkToFit="0" vertical="top" wrapText="0"/>
    </xf>
    <xf borderId="0" fillId="0" fontId="1" numFmtId="0" xfId="0" applyAlignment="1" applyFont="1">
      <alignment readingOrder="0"/>
    </xf>
    <xf borderId="0" fillId="0" fontId="1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>
        <v>2024.0</v>
      </c>
      <c r="C2" s="1">
        <v>2025.0</v>
      </c>
      <c r="D2" s="1" t="s">
        <v>1</v>
      </c>
      <c r="E2" s="1" t="s">
        <v>2</v>
      </c>
    </row>
    <row r="3">
      <c r="A3" s="2" t="s">
        <v>3</v>
      </c>
      <c r="B3" s="2">
        <v>19.33</v>
      </c>
      <c r="C3" s="1">
        <v>20.9</v>
      </c>
      <c r="D3" s="1">
        <v>20.9</v>
      </c>
      <c r="E3" s="1">
        <v>20.9</v>
      </c>
    </row>
    <row r="4">
      <c r="A4" s="1" t="s">
        <v>4</v>
      </c>
      <c r="B4" s="1">
        <v>30.0</v>
      </c>
      <c r="C4" s="1">
        <v>30.0</v>
      </c>
      <c r="D4" s="1">
        <v>16.5</v>
      </c>
      <c r="E4" s="1">
        <v>22.5</v>
      </c>
    </row>
    <row r="5">
      <c r="A5" s="1" t="s">
        <v>5</v>
      </c>
      <c r="B5" s="3">
        <f t="shared" ref="B5:E5" si="1">B3*B4</f>
        <v>579.9</v>
      </c>
      <c r="C5" s="4">
        <f t="shared" si="1"/>
        <v>627</v>
      </c>
      <c r="D5" s="4">
        <f t="shared" si="1"/>
        <v>344.85</v>
      </c>
      <c r="E5" s="4">
        <f t="shared" si="1"/>
        <v>470.25</v>
      </c>
    </row>
    <row r="6">
      <c r="A6" s="1" t="s">
        <v>6</v>
      </c>
    </row>
    <row r="10">
      <c r="A10" s="1" t="s">
        <v>7</v>
      </c>
      <c r="D10" s="1"/>
      <c r="E10" s="1" t="s">
        <v>8</v>
      </c>
      <c r="F10" s="1" t="s">
        <v>9</v>
      </c>
      <c r="G10" s="1" t="s">
        <v>10</v>
      </c>
    </row>
    <row r="11">
      <c r="A11" s="1" t="s">
        <v>4</v>
      </c>
      <c r="B11" s="1">
        <v>30.0</v>
      </c>
      <c r="D11" s="1" t="s">
        <v>11</v>
      </c>
      <c r="E11" s="1">
        <v>3.0</v>
      </c>
      <c r="F11" s="1">
        <v>3.0</v>
      </c>
    </row>
    <row r="12">
      <c r="A12" s="1" t="s">
        <v>12</v>
      </c>
      <c r="B12" s="1">
        <v>38.0</v>
      </c>
      <c r="D12" s="1" t="s">
        <v>13</v>
      </c>
      <c r="E12" s="1">
        <v>1.0</v>
      </c>
      <c r="F12" s="1">
        <v>5.0</v>
      </c>
    </row>
    <row r="13">
      <c r="A13" s="1" t="s">
        <v>14</v>
      </c>
      <c r="B13" s="5">
        <v>22.0</v>
      </c>
      <c r="D13" s="1" t="s">
        <v>15</v>
      </c>
      <c r="E13" s="3">
        <f t="shared" ref="E13:F13" si="2">E12*$B$17</f>
        <v>12.2</v>
      </c>
      <c r="F13" s="3">
        <f t="shared" si="2"/>
        <v>61</v>
      </c>
    </row>
    <row r="14">
      <c r="A14" s="1" t="s">
        <v>12</v>
      </c>
      <c r="B14" s="1">
        <v>52.0</v>
      </c>
      <c r="D14" s="1" t="s">
        <v>16</v>
      </c>
      <c r="E14" s="1">
        <v>9.9</v>
      </c>
      <c r="F14" s="1">
        <v>9.9</v>
      </c>
    </row>
    <row r="15">
      <c r="D15" s="1" t="s">
        <v>17</v>
      </c>
      <c r="E15" s="3">
        <f t="shared" ref="E15:F15" si="3">E11*E14+E13</f>
        <v>41.9</v>
      </c>
      <c r="F15" s="3">
        <f t="shared" si="3"/>
        <v>90.7</v>
      </c>
      <c r="G15" s="3">
        <f>F15-E15</f>
        <v>48.8</v>
      </c>
    </row>
    <row r="16">
      <c r="A16" s="1" t="s">
        <v>18</v>
      </c>
    </row>
    <row r="17">
      <c r="A17" s="1" t="s">
        <v>3</v>
      </c>
      <c r="B17" s="2">
        <v>12.2</v>
      </c>
    </row>
    <row r="18">
      <c r="A18" s="1" t="s">
        <v>19</v>
      </c>
      <c r="B18" s="1">
        <v>9.9</v>
      </c>
    </row>
    <row r="19">
      <c r="A19" s="1" t="s">
        <v>20</v>
      </c>
      <c r="B19" s="1">
        <v>2.0</v>
      </c>
    </row>
    <row r="20">
      <c r="A20" s="1" t="s">
        <v>21</v>
      </c>
      <c r="B20" s="1">
        <v>16.0</v>
      </c>
    </row>
    <row r="24">
      <c r="A24" s="6" t="s">
        <v>22</v>
      </c>
      <c r="B24" s="6" t="s">
        <v>23</v>
      </c>
      <c r="C24" s="6" t="s">
        <v>24</v>
      </c>
      <c r="D24" s="6" t="s">
        <v>25</v>
      </c>
      <c r="E24" s="6" t="s">
        <v>26</v>
      </c>
      <c r="F24" s="6" t="s">
        <v>27</v>
      </c>
      <c r="G24" s="6" t="s">
        <v>28</v>
      </c>
    </row>
    <row r="25">
      <c r="A25" s="1" t="s">
        <v>29</v>
      </c>
      <c r="B25" s="7"/>
      <c r="C25" s="7">
        <v>0.3541666666666667</v>
      </c>
      <c r="D25" s="7">
        <v>0.6041666666666666</v>
      </c>
      <c r="E25" s="7"/>
      <c r="F25" s="1">
        <v>6.0</v>
      </c>
      <c r="G25" s="1">
        <v>0.0</v>
      </c>
    </row>
    <row r="26">
      <c r="A26" s="1" t="s">
        <v>30</v>
      </c>
      <c r="B26" s="7">
        <v>0.3333333333333333</v>
      </c>
      <c r="C26" s="7">
        <v>0.3541666666666667</v>
      </c>
      <c r="D26" s="7">
        <v>0.6875</v>
      </c>
      <c r="E26" s="7">
        <v>0.7083333333333334</v>
      </c>
      <c r="F26" s="1">
        <v>7.5</v>
      </c>
      <c r="G26" s="1">
        <v>7.0</v>
      </c>
    </row>
    <row r="27">
      <c r="A27" s="1" t="s">
        <v>31</v>
      </c>
      <c r="B27" s="7">
        <v>0.3333333333333333</v>
      </c>
      <c r="C27" s="7">
        <v>0.3541666666666667</v>
      </c>
      <c r="D27" s="7">
        <v>0.6041666666666666</v>
      </c>
      <c r="E27" s="7">
        <v>0.625</v>
      </c>
      <c r="F27" s="1">
        <v>6.0</v>
      </c>
      <c r="G27" s="1">
        <v>9.0</v>
      </c>
    </row>
    <row r="28">
      <c r="A28" s="1" t="s">
        <v>32</v>
      </c>
      <c r="F28" s="1" t="s">
        <v>33</v>
      </c>
      <c r="G28" s="1">
        <v>16.0</v>
      </c>
    </row>
    <row r="30">
      <c r="A30" s="1" t="s">
        <v>34</v>
      </c>
    </row>
    <row r="32">
      <c r="A32" s="6" t="s">
        <v>22</v>
      </c>
      <c r="B32" s="6" t="s">
        <v>23</v>
      </c>
      <c r="C32" s="6" t="s">
        <v>24</v>
      </c>
      <c r="D32" s="6" t="s">
        <v>25</v>
      </c>
      <c r="E32" s="6" t="s">
        <v>26</v>
      </c>
      <c r="F32" s="6" t="s">
        <v>27</v>
      </c>
      <c r="G32" s="6" t="s">
        <v>28</v>
      </c>
    </row>
    <row r="33">
      <c r="A33" s="1" t="s">
        <v>29</v>
      </c>
      <c r="B33" s="7">
        <v>0.3333333333333333</v>
      </c>
      <c r="C33" s="7">
        <v>0.3541666666666667</v>
      </c>
      <c r="D33" s="7">
        <v>0.6875</v>
      </c>
      <c r="E33" s="7">
        <v>0.7083333333333334</v>
      </c>
      <c r="F33" s="1">
        <v>7.5</v>
      </c>
      <c r="G33" s="1">
        <v>0.0</v>
      </c>
    </row>
    <row r="34">
      <c r="A34" s="1" t="s">
        <v>35</v>
      </c>
      <c r="B34" s="7">
        <v>0.3333333333333333</v>
      </c>
      <c r="C34" s="7">
        <v>0.3541666666666667</v>
      </c>
      <c r="D34" s="7">
        <v>0.6875</v>
      </c>
      <c r="E34" s="7">
        <v>0.7083333333333334</v>
      </c>
      <c r="F34" s="1">
        <v>7.5</v>
      </c>
      <c r="G34" s="1">
        <v>9.0</v>
      </c>
    </row>
    <row r="35">
      <c r="A35" s="1" t="s">
        <v>36</v>
      </c>
      <c r="B35" s="7">
        <v>0.3333333333333333</v>
      </c>
      <c r="C35" s="7">
        <v>0.3541666666666667</v>
      </c>
      <c r="D35" s="7">
        <v>0.6875</v>
      </c>
      <c r="E35" s="7">
        <v>0.7083333333333334</v>
      </c>
      <c r="F35" s="1">
        <v>7.5</v>
      </c>
      <c r="G35" s="1">
        <v>9.0</v>
      </c>
    </row>
    <row r="36">
      <c r="A36" s="1" t="s">
        <v>32</v>
      </c>
      <c r="F36" s="1" t="s">
        <v>37</v>
      </c>
      <c r="G36" s="1">
        <v>18.0</v>
      </c>
    </row>
    <row r="38">
      <c r="A38" s="1" t="s">
        <v>38</v>
      </c>
    </row>
    <row r="40">
      <c r="A40" s="6" t="s">
        <v>22</v>
      </c>
      <c r="B40" s="6" t="s">
        <v>23</v>
      </c>
      <c r="C40" s="6" t="s">
        <v>24</v>
      </c>
      <c r="D40" s="6" t="s">
        <v>25</v>
      </c>
      <c r="E40" s="6" t="s">
        <v>26</v>
      </c>
      <c r="F40" s="6" t="s">
        <v>27</v>
      </c>
      <c r="G40" s="6" t="s">
        <v>28</v>
      </c>
      <c r="L40" s="8"/>
      <c r="M40" s="8"/>
      <c r="N40" s="9"/>
      <c r="O40" s="8"/>
      <c r="P40" s="8"/>
      <c r="Q40" s="8"/>
      <c r="R40" s="10"/>
    </row>
    <row r="41">
      <c r="A41" s="1" t="s">
        <v>29</v>
      </c>
      <c r="B41" s="7">
        <v>0.3333333333333333</v>
      </c>
      <c r="C41" s="7">
        <v>0.3541666666666667</v>
      </c>
      <c r="D41" s="7">
        <v>0.6875</v>
      </c>
      <c r="E41" s="7">
        <v>0.7083333333333334</v>
      </c>
      <c r="F41" s="1">
        <v>7.5</v>
      </c>
      <c r="G41" s="1">
        <v>0.0</v>
      </c>
      <c r="L41" s="11"/>
      <c r="M41" s="12"/>
      <c r="N41" s="12"/>
      <c r="O41" s="12"/>
      <c r="P41" s="12"/>
      <c r="Q41" s="12"/>
      <c r="R41" s="11"/>
      <c r="S41" s="12"/>
    </row>
    <row r="42">
      <c r="A42" s="1" t="s">
        <v>35</v>
      </c>
      <c r="B42" s="7">
        <v>0.3333333333333333</v>
      </c>
      <c r="C42" s="7">
        <v>0.3541666666666667</v>
      </c>
      <c r="D42" s="7">
        <v>0.6875</v>
      </c>
      <c r="E42" s="7">
        <v>0.7083333333333334</v>
      </c>
      <c r="F42" s="1">
        <v>7.5</v>
      </c>
      <c r="G42" s="1">
        <v>9.0</v>
      </c>
      <c r="L42" s="11"/>
      <c r="M42" s="12"/>
      <c r="N42" s="12"/>
      <c r="O42" s="12"/>
      <c r="P42" s="12"/>
      <c r="Q42" s="12"/>
      <c r="R42" s="11"/>
      <c r="S42" s="12"/>
    </row>
    <row r="43">
      <c r="A43" s="1" t="s">
        <v>36</v>
      </c>
      <c r="B43" s="7">
        <v>0.3333333333333333</v>
      </c>
      <c r="C43" s="7">
        <v>0.3541666666666667</v>
      </c>
      <c r="D43" s="7">
        <v>0.6041666666666666</v>
      </c>
      <c r="E43" s="7">
        <v>0.625</v>
      </c>
      <c r="F43" s="1">
        <v>6.0</v>
      </c>
      <c r="G43" s="1">
        <v>7.0</v>
      </c>
      <c r="L43" s="11"/>
      <c r="M43" s="12"/>
      <c r="N43" s="12"/>
      <c r="O43" s="12"/>
      <c r="P43" s="12"/>
      <c r="Q43" s="12"/>
      <c r="R43" s="11"/>
      <c r="S43" s="12"/>
    </row>
    <row r="44">
      <c r="A44" s="1" t="s">
        <v>32</v>
      </c>
      <c r="F44" s="1">
        <f>SUM(F41:F43)</f>
        <v>21</v>
      </c>
      <c r="G44" s="1">
        <v>16.0</v>
      </c>
      <c r="L44" s="11"/>
      <c r="M44" s="12"/>
      <c r="N44" s="12"/>
      <c r="O44" s="12"/>
      <c r="P44" s="12"/>
      <c r="Q44" s="12"/>
      <c r="R44" s="11"/>
      <c r="S44" s="12"/>
    </row>
    <row r="48">
      <c r="A48" s="1">
        <v>22.5</v>
      </c>
    </row>
    <row r="49">
      <c r="A49" s="13" t="s">
        <v>39</v>
      </c>
      <c r="B49" s="13" t="s">
        <v>40</v>
      </c>
      <c r="C49" s="13" t="s">
        <v>41</v>
      </c>
      <c r="D49" s="13" t="s">
        <v>42</v>
      </c>
      <c r="E49" s="13" t="s">
        <v>43</v>
      </c>
      <c r="F49" s="1" t="s">
        <v>44</v>
      </c>
    </row>
    <row r="50">
      <c r="A50" s="13" t="s">
        <v>45</v>
      </c>
      <c r="B50" s="13">
        <v>24453.0</v>
      </c>
      <c r="C50" s="13">
        <v>2037.75</v>
      </c>
      <c r="D50" s="13">
        <v>470.25</v>
      </c>
      <c r="E50" s="13">
        <v>94.05</v>
      </c>
      <c r="F50" s="14">
        <f t="shared" ref="F50:F56" si="4">D50/$A$48</f>
        <v>20.9</v>
      </c>
    </row>
    <row r="51">
      <c r="A51" s="13" t="s">
        <v>46</v>
      </c>
      <c r="B51" s="13">
        <v>1548.11</v>
      </c>
      <c r="C51" s="13">
        <v>129.01</v>
      </c>
      <c r="D51" s="13">
        <v>29.77</v>
      </c>
      <c r="E51" s="13">
        <v>5.95</v>
      </c>
      <c r="F51" s="14">
        <f t="shared" si="4"/>
        <v>1.323111111</v>
      </c>
    </row>
    <row r="52">
      <c r="A52" s="13" t="s">
        <v>47</v>
      </c>
      <c r="B52" s="13">
        <v>10334.89</v>
      </c>
      <c r="C52" s="13">
        <v>861.24</v>
      </c>
      <c r="D52" s="13">
        <v>198.75</v>
      </c>
      <c r="E52" s="13">
        <v>39.75</v>
      </c>
      <c r="F52" s="14">
        <f t="shared" si="4"/>
        <v>8.833333333</v>
      </c>
    </row>
    <row r="53">
      <c r="A53" s="13" t="s">
        <v>48</v>
      </c>
      <c r="B53" s="13">
        <v>2066.98</v>
      </c>
      <c r="C53" s="13">
        <v>172.25</v>
      </c>
      <c r="D53" s="13">
        <v>39.75</v>
      </c>
      <c r="E53" s="13">
        <v>7.95</v>
      </c>
      <c r="F53" s="14">
        <f t="shared" si="4"/>
        <v>1.766666667</v>
      </c>
    </row>
    <row r="54">
      <c r="A54" s="13" t="s">
        <v>49</v>
      </c>
      <c r="B54" s="13">
        <v>950.64</v>
      </c>
      <c r="C54" s="13">
        <v>79.22</v>
      </c>
      <c r="D54" s="13">
        <v>18.28</v>
      </c>
      <c r="E54" s="13">
        <v>3.66</v>
      </c>
      <c r="F54" s="14">
        <f t="shared" si="4"/>
        <v>0.8124444444</v>
      </c>
    </row>
    <row r="55">
      <c r="A55" s="13" t="s">
        <v>50</v>
      </c>
      <c r="B55" s="13">
        <v>0.0</v>
      </c>
      <c r="C55" s="13">
        <v>0.0</v>
      </c>
      <c r="D55" s="13">
        <v>0.0</v>
      </c>
      <c r="E55" s="13">
        <v>0.0</v>
      </c>
      <c r="F55" s="14">
        <f t="shared" si="4"/>
        <v>0</v>
      </c>
    </row>
    <row r="56">
      <c r="B56" s="13">
        <v>19887.27</v>
      </c>
      <c r="C56" s="13">
        <v>1657.27</v>
      </c>
      <c r="D56" s="13">
        <v>382.45</v>
      </c>
      <c r="E56" s="13">
        <v>76.49</v>
      </c>
      <c r="F56" s="14">
        <f t="shared" si="4"/>
        <v>16.99777778</v>
      </c>
    </row>
    <row r="57">
      <c r="F57" s="14"/>
    </row>
    <row r="59">
      <c r="A59" s="1">
        <v>19.5</v>
      </c>
    </row>
    <row r="60">
      <c r="B60" s="13" t="s">
        <v>40</v>
      </c>
      <c r="C60" s="13" t="s">
        <v>41</v>
      </c>
      <c r="D60" s="13" t="s">
        <v>42</v>
      </c>
      <c r="E60" s="13" t="s">
        <v>43</v>
      </c>
      <c r="F60" s="1" t="s">
        <v>51</v>
      </c>
    </row>
    <row r="61">
      <c r="A61" s="13" t="s">
        <v>39</v>
      </c>
      <c r="B61" s="13">
        <v>21192.6</v>
      </c>
      <c r="C61" s="13">
        <v>1766.05</v>
      </c>
      <c r="D61" s="13">
        <v>407.55</v>
      </c>
      <c r="E61" s="13">
        <v>81.51</v>
      </c>
      <c r="F61" s="14">
        <f t="shared" ref="F61:F67" si="5">D61/$A$59</f>
        <v>20.9</v>
      </c>
    </row>
    <row r="62">
      <c r="A62" s="13" t="s">
        <v>45</v>
      </c>
      <c r="B62" s="13">
        <v>1270.97</v>
      </c>
      <c r="C62" s="13">
        <v>105.91</v>
      </c>
      <c r="D62" s="13">
        <v>24.44</v>
      </c>
      <c r="E62" s="13">
        <v>4.89</v>
      </c>
      <c r="F62" s="14">
        <f t="shared" si="5"/>
        <v>1.253333333</v>
      </c>
    </row>
    <row r="63">
      <c r="A63" s="13" t="s">
        <v>46</v>
      </c>
      <c r="B63" s="13">
        <v>7351.63</v>
      </c>
      <c r="C63" s="13">
        <v>612.64</v>
      </c>
      <c r="D63" s="13">
        <v>141.38</v>
      </c>
      <c r="E63" s="13">
        <v>28.28</v>
      </c>
      <c r="F63" s="14">
        <f t="shared" si="5"/>
        <v>7.25025641</v>
      </c>
    </row>
    <row r="64">
      <c r="A64" s="13" t="s">
        <v>47</v>
      </c>
      <c r="B64" s="13">
        <v>1470.33</v>
      </c>
      <c r="C64" s="13">
        <v>122.53</v>
      </c>
      <c r="D64" s="13">
        <v>28.28</v>
      </c>
      <c r="E64" s="13">
        <v>5.66</v>
      </c>
      <c r="F64" s="14">
        <f t="shared" si="5"/>
        <v>1.45025641</v>
      </c>
    </row>
    <row r="65">
      <c r="A65" s="13" t="s">
        <v>48</v>
      </c>
      <c r="B65" s="13">
        <v>689.81</v>
      </c>
      <c r="C65" s="13">
        <v>57.48</v>
      </c>
      <c r="D65" s="13">
        <v>13.27</v>
      </c>
      <c r="E65" s="13">
        <v>2.65</v>
      </c>
      <c r="F65" s="14">
        <f t="shared" si="5"/>
        <v>0.6805128205</v>
      </c>
    </row>
    <row r="66">
      <c r="A66" s="13" t="s">
        <v>49</v>
      </c>
      <c r="B66" s="13">
        <v>0.0</v>
      </c>
      <c r="C66" s="13">
        <v>0.0</v>
      </c>
      <c r="D66" s="13">
        <v>0.0</v>
      </c>
      <c r="E66" s="13">
        <v>0.0</v>
      </c>
      <c r="F66" s="14">
        <f t="shared" si="5"/>
        <v>0</v>
      </c>
    </row>
    <row r="67">
      <c r="A67" s="13" t="s">
        <v>50</v>
      </c>
      <c r="B67" s="13">
        <v>17761.49</v>
      </c>
      <c r="C67" s="13">
        <v>1480.13</v>
      </c>
      <c r="D67" s="13">
        <v>341.56</v>
      </c>
      <c r="E67" s="13">
        <v>68.31</v>
      </c>
      <c r="F67" s="14">
        <f t="shared" si="5"/>
        <v>17.51589744</v>
      </c>
    </row>
    <row r="69">
      <c r="A69" s="1">
        <v>21.0</v>
      </c>
    </row>
    <row r="70">
      <c r="B70" s="13" t="s">
        <v>40</v>
      </c>
      <c r="C70" s="13" t="s">
        <v>41</v>
      </c>
      <c r="D70" s="13" t="s">
        <v>42</v>
      </c>
      <c r="E70" s="13" t="s">
        <v>43</v>
      </c>
      <c r="F70" s="1" t="s">
        <v>52</v>
      </c>
    </row>
    <row r="71">
      <c r="A71" s="13" t="s">
        <v>39</v>
      </c>
      <c r="B71" s="13">
        <v>22822.8</v>
      </c>
      <c r="C71" s="13">
        <v>1901.9</v>
      </c>
      <c r="D71" s="13">
        <v>438.9</v>
      </c>
      <c r="E71" s="13">
        <v>87.78</v>
      </c>
      <c r="F71" s="14">
        <f t="shared" ref="F71:F77" si="6">D71/$A$69</f>
        <v>20.9</v>
      </c>
      <c r="I71" s="13">
        <v>18824.39</v>
      </c>
    </row>
    <row r="72">
      <c r="A72" s="13" t="s">
        <v>45</v>
      </c>
      <c r="B72" s="13">
        <v>1409.54</v>
      </c>
      <c r="C72" s="13">
        <v>117.46</v>
      </c>
      <c r="D72" s="13">
        <v>27.11</v>
      </c>
      <c r="E72" s="13">
        <v>5.42</v>
      </c>
      <c r="F72" s="14">
        <f t="shared" si="6"/>
        <v>1.290952381</v>
      </c>
      <c r="I72" s="13">
        <v>1568.7</v>
      </c>
    </row>
    <row r="73">
      <c r="A73" s="13" t="s">
        <v>46</v>
      </c>
      <c r="B73" s="13">
        <v>8843.26</v>
      </c>
      <c r="C73" s="13">
        <v>736.94</v>
      </c>
      <c r="D73" s="13">
        <v>170.06</v>
      </c>
      <c r="E73" s="13">
        <v>34.01</v>
      </c>
      <c r="F73" s="14">
        <f t="shared" si="6"/>
        <v>8.098095238</v>
      </c>
      <c r="I73" s="13">
        <v>362.01</v>
      </c>
    </row>
    <row r="74">
      <c r="A74" s="13" t="s">
        <v>47</v>
      </c>
      <c r="B74" s="13">
        <v>1768.65</v>
      </c>
      <c r="C74" s="13">
        <v>147.39</v>
      </c>
      <c r="D74" s="13">
        <v>34.01</v>
      </c>
      <c r="E74" s="13">
        <v>6.8</v>
      </c>
      <c r="F74" s="14">
        <f t="shared" si="6"/>
        <v>1.61952381</v>
      </c>
    </row>
    <row r="75">
      <c r="A75" s="13" t="s">
        <v>48</v>
      </c>
      <c r="B75" s="13">
        <v>820.22</v>
      </c>
      <c r="C75" s="13">
        <v>68.35</v>
      </c>
      <c r="D75" s="13">
        <v>15.77</v>
      </c>
      <c r="E75" s="13">
        <v>3.15</v>
      </c>
      <c r="F75" s="14">
        <f t="shared" si="6"/>
        <v>0.750952381</v>
      </c>
    </row>
    <row r="76">
      <c r="A76" s="13" t="s">
        <v>49</v>
      </c>
      <c r="B76" s="13">
        <v>0.0</v>
      </c>
      <c r="C76" s="13">
        <v>0.0</v>
      </c>
      <c r="D76" s="13">
        <v>0.0</v>
      </c>
      <c r="E76" s="13">
        <v>0.0</v>
      </c>
      <c r="F76" s="14">
        <f t="shared" si="6"/>
        <v>0</v>
      </c>
    </row>
    <row r="77">
      <c r="A77" s="13" t="s">
        <v>50</v>
      </c>
      <c r="B77" s="13">
        <v>18824.39</v>
      </c>
      <c r="C77" s="13">
        <v>1568.7</v>
      </c>
      <c r="D77" s="13">
        <v>362.01</v>
      </c>
      <c r="E77" s="13">
        <v>72.41</v>
      </c>
      <c r="F77" s="14">
        <f t="shared" si="6"/>
        <v>17.23857143</v>
      </c>
    </row>
  </sheetData>
  <drawing r:id="rId1"/>
</worksheet>
</file>